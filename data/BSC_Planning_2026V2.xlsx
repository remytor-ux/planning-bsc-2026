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18" documentId="11_82001204A17853BD4102BB3957D4EBE5562A03D3" xr6:coauthVersionLast="47" xr6:coauthVersionMax="47" xr10:uidLastSave="{B05963F7-BDA7-FF47-800D-905B418AD75C}"/>
  <bookViews>
    <workbookView xWindow="0" yWindow="0" windowWidth="25200" windowHeight="11865" tabRatio="500" firstSheet="12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7">JUILLET!$B$2:$K$31</definedName>
    <definedName name="_xlnm.Print_Area" localSheetId="8">AOUT!$A$1:$O$38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<sst xmlns="http://schemas.openxmlformats.org/spreadsheetml/2006/main" count="4213" uniqueCount="227">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</sst>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1" t="s">
        <v>0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1" t="s">
        <v>72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5"/>
      <c r="J44" s="365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101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9" t="s">
        <v>57</v>
      </c>
      <c r="D60" s="369"/>
      <c r="E60" s="369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5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71" t="s">
        <v>115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71" t="s">
        <v>134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71" t="s">
        <v>159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1"/>
      <c r="I37" s="366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1">
        <f>COUNTIF($J$4:$J$31,"BRUGIROUX")</f>
        <v>0</v>
      </c>
      <c r="I38" s="366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1"/>
      <c r="I40" s="366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71" t="s">
        <v>174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</row>
    <row r="2" spans="1:20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4"/>
      <c r="O40" s="374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1"/>
      <c r="I42" s="366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1">
        <v>1</v>
      </c>
      <c r="I43" s="366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1"/>
      <c r="I45" s="366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6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6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6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6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9" t="s">
        <v>57</v>
      </c>
      <c r="D63" s="369"/>
      <c r="E63" s="369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F17" sqref="F1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189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43" t="s">
        <v>48</v>
      </c>
      <c r="H29" s="343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343" t="s">
        <v>48</v>
      </c>
      <c r="G31" s="343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32" zoomScale="112" zoomScaleNormal="112" workbookViewId="0">
      <selection activeCell="E24" sqref="E2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1" t="s">
        <v>199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0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60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60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K1" zoomScale="112" zoomScaleNormal="112" workbookViewId="0">
      <selection activeCell="I45" sqref="I4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1" t="s">
        <v>212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1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1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1" t="s">
        <v>22</v>
      </c>
      <c r="H15" s="32" t="s">
        <v>20</v>
      </c>
      <c r="I15" s="32"/>
      <c r="J15" s="361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61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1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1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1" t="s">
        <v>22</v>
      </c>
      <c r="G30" s="361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1" t="s">
        <v>22</v>
      </c>
      <c r="G32" s="361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1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1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2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74" t="s">
        <v>53</v>
      </c>
      <c r="B40" s="374"/>
      <c r="C40" s="374"/>
      <c r="D40" s="374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9" t="s">
        <v>57</v>
      </c>
      <c r="M42" s="369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64</v>
      </c>
      <c r="J43" s="365" t="s">
        <v>65</v>
      </c>
      <c r="K43" s="365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H13" sqref="H13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221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64" t="s">
        <v>22</v>
      </c>
      <c r="D5" s="364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4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4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4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63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4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4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3" t="s">
        <v>22</v>
      </c>
      <c r="G29" s="363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9" t="s">
        <v>57</v>
      </c>
      <c r="M35" s="369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5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0" t="s">
        <v>38</v>
      </c>
      <c r="B58" s="370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0" t="s">
        <v>36</v>
      </c>
      <c r="B59" s="370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3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0" t="s">
        <v>21</v>
      </c>
      <c r="B60" s="370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0" t="s">
        <v>31</v>
      </c>
      <c r="B61" s="370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8" t="s">
        <v>28</v>
      </c>
      <c r="B62" s="368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8" t="s">
        <v>42</v>
      </c>
      <c r="B63" s="368"/>
      <c r="C63" s="272">
        <f>SEPTEMBRE!K42+OCTOBRE!K42+NOVEMBRE!K49+DECEMBRE!K42</f>
        <v>491.4</v>
      </c>
      <c r="D63" s="102">
        <f>SEPTEMBRE!L42+OCTOBRE!L42+NOVEMBRE!L49+DECEMBRE!L42</f>
        <v>488</v>
      </c>
      <c r="E63" s="353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8" t="s">
        <v>47</v>
      </c>
      <c r="B64" s="368"/>
      <c r="C64" s="272">
        <f>SEPTEMBRE!K43+OCTOBRE!K43+NOVEMBRE!K50+DECEMBRE!K43</f>
        <v>280.8</v>
      </c>
      <c r="D64" s="102">
        <f>SEPTEMBRE!L43+OCTOBRE!L43+NOVEMBRE!L50+DECEMBRE!L43</f>
        <v>274</v>
      </c>
      <c r="E64" s="353">
        <f t="shared" ref="E64:E77" si="5">D64-C64</f>
        <v>-6.8000000000000114</v>
      </c>
      <c r="F64" s="163">
        <f t="shared" si="4"/>
        <v>-0.28333333333333383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8" t="s">
        <v>20</v>
      </c>
      <c r="B65" s="368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8" t="s">
        <v>19</v>
      </c>
      <c r="B66" s="368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8" t="s">
        <v>37</v>
      </c>
      <c r="B67" s="368"/>
      <c r="C67" s="272">
        <f>SEPTEMBRE!K46+OCTOBRE!K46+NOVEMBRE!K53+DECEMBRE!K46</f>
        <v>232.44</v>
      </c>
      <c r="D67" s="102">
        <f>SEPTEMBRE!L46+OCTOBRE!L46+NOVEMBRE!L53+DECEMBRE!L46</f>
        <v>242</v>
      </c>
      <c r="E67" s="353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8" t="s">
        <v>27</v>
      </c>
      <c r="B68" s="368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8" t="s">
        <v>34</v>
      </c>
      <c r="B69" s="368"/>
      <c r="C69" s="272">
        <f>SEPTEMBRE!K48+OCTOBRE!K48+NOVEMBRE!K55+DECEMBRE!K48</f>
        <v>374.4</v>
      </c>
      <c r="D69" s="102">
        <f>SEPTEMBRE!L48+OCTOBRE!L48+NOVEMBRE!L55+DECEMBRE!L48</f>
        <v>426</v>
      </c>
      <c r="E69" s="353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8" t="s">
        <v>22</v>
      </c>
      <c r="B70" s="368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8" t="s">
        <v>29</v>
      </c>
      <c r="B71" s="368"/>
      <c r="C71" s="272">
        <f>SEPTEMBRE!K50+OCTOBRE!K50+NOVEMBRE!K57+DECEMBRE!K50</f>
        <v>561.6</v>
      </c>
      <c r="D71" s="102">
        <f>SEPTEMBRE!L50+OCTOBRE!L50+NOVEMBRE!L57+DECEMBRE!L50</f>
        <v>606</v>
      </c>
      <c r="E71" s="353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8" t="s">
        <v>48</v>
      </c>
      <c r="B72" s="368"/>
      <c r="C72" s="272">
        <f>SEPTEMBRE!K51+OCTOBRE!K51+NOVEMBRE!K58+DECEMBRE!K51</f>
        <v>499.2</v>
      </c>
      <c r="D72" s="102">
        <f>SEPTEMBRE!L51+OCTOBRE!L51+NOVEMBRE!L58+DECEMBRE!L51</f>
        <v>536</v>
      </c>
      <c r="E72" s="353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8" t="s">
        <v>44</v>
      </c>
      <c r="B73" s="368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8" t="s">
        <v>23</v>
      </c>
      <c r="B74" s="368"/>
      <c r="C74" s="272">
        <f>SEPTEMBRE!K53+OCTOBRE!K53+NOVEMBRE!K60+DECEMBRE!K53</f>
        <v>530.4</v>
      </c>
      <c r="D74" s="102">
        <f>SEPTEMBRE!L53+OCTOBRE!L53+NOVEMBRE!L60+DECEMBRE!L53</f>
        <v>536</v>
      </c>
      <c r="E74" s="353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8" t="s">
        <v>32</v>
      </c>
      <c r="B75" s="368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8" t="s">
        <v>102</v>
      </c>
      <c r="B76" s="368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7" t="s">
        <v>168</v>
      </c>
      <c r="B77" s="367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2026-10-02T08:30:32Z</dcterms:modified>
  <cp:category/>
  <cp:contentStatus/>
</cp:coreProperties>
</file>