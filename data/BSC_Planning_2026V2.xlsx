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06" documentId="11_82001204A17853BD4102BB3957D4EBE5562A03D3" xr6:coauthVersionLast="47" xr6:coauthVersionMax="47" xr10:uidLastSave="{48062DFD-1ED7-4FAD-B6A9-BB2219D2C0DF}"/>
  <bookViews>
    <workbookView xWindow="0" yWindow="0" windowWidth="25200" windowHeight="11865" tabRatio="500" firstSheet="9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<sst xmlns="http://schemas.openxmlformats.org/spreadsheetml/2006/main" count="4205" uniqueCount="221">
  <si>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</si>
  <si>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</si>
  <si>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</si>
  <si>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</si>
  <si>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</si>
  <si>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</si>
  <si>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</si>
  <si>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</si>
  <si>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</si>
  <si>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</si>
  <si>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</si>
  <si>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</si>
  <si>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</si>
  <si>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</si>
  <si>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</si>
  <si>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</si>
  <si>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</si>
  <si>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</si>
  <si>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</si>
  <si>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</si>
  <si>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</si>
  <si>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</si>
  <si>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</si>
  <si>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</si>
  <si>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</si>
  <si>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</si>
  <si>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</si>
  <si>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</si>
  <si>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</si>
  <si>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</si>
  <si>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</si>
  <si>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</si>
  <si>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</si>
  <si>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</si>
  <si>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</si>
  <si>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</si>
  <si>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</si>
  <si>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</si>
  <si>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</si>
  <si>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</si>
  <si>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</si>
  <si>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</si>
  <si>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</si>
  <si>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</si>
  <si>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</si>
  <si>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</si>
  <si>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</si>
  <si>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</si>
  <si>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</si>
  <si>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</si>
  <si>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</si>
  <si>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</si>
  <si>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</si>
  <si>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</si>
  <si>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</si>
  <si>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</si>
  <si>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</si>
  <si>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</si>
  <si>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</si>
  <si>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</si>
  <si>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</si>
  <si>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</si>
  <si>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</si>
  <si>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</si>
  <si>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</si>
  <si>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</si>
  <si>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</si>
  <si>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</si>
  <si>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</si>
  <si>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</si>
  <si>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</si>
  <si>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</si>
  <si>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</si>
  <si>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</si>
  <si>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</si>
  <si>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</si>
  <si>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</si>
  <si>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</si>
  <si>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</si>
  <si>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</si>
  <si>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</si>
  <si>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</si>
  <si>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</si>
  <si>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</si>
  <si>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</si>
  <si>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</si>
  <si>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</si>
  <si>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</si>
  <si>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</si>
  <si>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</si>
  <si>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</si>
  <si>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</si>
  <si>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</si>
  <si>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</si>
  <si>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</si>
  <si>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</si>
  <si>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</si>
  <si>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</si>
  <si>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</si>
  <si>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</si>
  <si>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</si>
  <si>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</si>
  <si>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</si>
  <si>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</si>
  <si>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</si>
  <si>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</si>
  <si>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</si>
  <si>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</si>
  <si>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</si>
  <si>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</si>
  <si>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</si>
  <si>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</si>
  <si>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</si>
  <si>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</si>
  <si>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</si>
  <si>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</si>
  <si>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</si>
  <si>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</si>
  <si>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</si>
  <si>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</si>
  <si>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</si>
  <si>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</si>
  <si>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</si>
  <si>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</si>
  <si>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</si>
  <si>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</si>
  <si>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</si>
  <si>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</si>
  <si>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</si>
  <si>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</si>
  <si>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</si>
  <si>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</si>
  <si>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</si>
  <si>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</si>
  <si>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</si>
  <si>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</si>
  <si>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</si>
  <si>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</si>
  <si>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</si>
  <si>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</si>
  <si>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</si>
  <si>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</si>
  <si>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</si>
  <si>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</si>
  <si>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</si>
  <si>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</si>
  <si>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</si>
  <si>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</si>
  <si>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</si>
  <si>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</si>
  <si>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</si>
  <si>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</si>
  <si>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</si>
  <si>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</si>
  <si>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</si>
  <si>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</si>
  <si>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</si>
  <si>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</si>
  <si>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</si>
  <si>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</si>
  <si>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</si>
  <si>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</si>
  <si>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</si>
  <si>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</si>
  <si>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</si>
  <si>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</si>
  <si>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</si>
  <si>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</si>
  <si>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</si>
  <si>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</si>
  <si>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</si>
  <si>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</si>
  <si>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</si>
  <si>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</si>
  <si>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</si>
  <si>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</si>
  <si>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</si>
  <si>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</si>
  <si>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</si>
  <si>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</si>
  <si>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</si>
  <si>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</si>
  <si>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</si>
  <si>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</si>
  <si>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</si>
  <si>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</si>
  <si>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</si>
  <si>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</si>
  <si>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</si>
  <si>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</si>
  <si>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</si>
  <si>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</si>
  <si>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</si>
  <si>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</si>
  <si>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</si>
  <si>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</si>
  <si>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TOUNGOU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</si>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</sst>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1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3" t="s">
        <v>0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3" t="s">
        <v>72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89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6" t="s">
        <v>53</v>
      </c>
      <c r="B40" s="366"/>
      <c r="C40" s="366"/>
      <c r="D40" s="36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0" t="s">
        <v>57</v>
      </c>
      <c r="M42" s="77"/>
      <c r="N42" s="36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63</v>
      </c>
      <c r="J43" s="360" t="s">
        <v>64</v>
      </c>
      <c r="K43" s="360" t="s">
        <v>65</v>
      </c>
      <c r="L43" s="360" t="s">
        <v>66</v>
      </c>
      <c r="M43" s="77" t="s">
        <v>67</v>
      </c>
      <c r="N43" s="36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0"/>
      <c r="J44" s="36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101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2" t="s">
        <v>57</v>
      </c>
      <c r="D60" s="362"/>
      <c r="E60" s="362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3" t="s">
        <v>115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3" t="s">
        <v>134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6" t="s">
        <v>53</v>
      </c>
      <c r="B40" s="366"/>
      <c r="C40" s="366"/>
      <c r="D40" s="36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0" t="s">
        <v>57</v>
      </c>
      <c r="M42" s="77"/>
      <c r="N42" s="36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63</v>
      </c>
      <c r="J43" s="360" t="s">
        <v>64</v>
      </c>
      <c r="K43" s="360" t="s">
        <v>65</v>
      </c>
      <c r="L43" s="360" t="s">
        <v>66</v>
      </c>
      <c r="M43" s="77" t="s">
        <v>67</v>
      </c>
      <c r="N43" s="36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1">
        <f>COUNTIF($C$4:$C$38,"AZZEDINE")+COUNTIF($H$4:$H$38,"AZZEDINE")+COUNTIF($I$4:$I$38,"AZZEDINE")+COUNTIF($F$4:$F$38,"AZZEDINE")+D72</f>
        <v>3</v>
      </c>
      <c r="F63" s="361">
        <f>COUNTIF($D$4:$D$38,"AZZEDINE")+COUNTIF($H$4:$H$38,"AZZEDINE")+COUNTIF($G$4:$G$38,"AZZEDINE")</f>
        <v>0</v>
      </c>
      <c r="G63" s="361">
        <f>COUNTIF($E$4:$E$38,"AZZEDINE")</f>
        <v>0</v>
      </c>
      <c r="H63" s="36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3" t="s">
        <v>159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360" t="s">
        <v>67</v>
      </c>
      <c r="M36" s="36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1">
        <f>COUNTIF($C$4:$C$31,"BOULAT")+COUNTIF($F$4:$F$31,"BOULAT")+COUNTIF($I$4:$I$31,"BOULAT")+COUNTIF($K$4:$K$31,"BOULAT")</f>
        <v>4</v>
      </c>
      <c r="F37" s="361">
        <f>COUNTIF($D$4:$D$31,"BOULAT")+COUNTIF($G$4:$G$31,"BOULAT")</f>
        <v>3</v>
      </c>
      <c r="G37" s="361">
        <f>COUNTIF($E$4:$E$31,"BOULAT")</f>
        <v>0</v>
      </c>
      <c r="H37" s="161"/>
      <c r="I37" s="36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1">
        <f>COUNTIF($C$4:$C$31,"BRUGIROUX")+COUNTIF($I$4:$I$31,"BRUGIROUX")+COUNTIF($F$4:$F$31,"BRUGIROUX")+COUNTIF($K$4:$K$31,"BRUGIROUX")</f>
        <v>5</v>
      </c>
      <c r="F38" s="361">
        <f>COUNTIF($D$4:$D$31,"BRUGIROUX")+COUNTIF($G$4:$G$31,"BRUGIROUX")</f>
        <v>8</v>
      </c>
      <c r="G38" s="361">
        <f>COUNTIF($E$4:$E$31,"BRUGIROUX")</f>
        <v>1</v>
      </c>
      <c r="H38" s="161">
        <f>COUNTIF($J$4:$J$31,"BRUGIROUX")</f>
        <v>0</v>
      </c>
      <c r="I38" s="36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1">
        <f>COUNTIF($C$4:$C$31,"CAUVY")+COUNTIF($F$4:$F$31,"CAUVY")+COUNTIF($I$4:$I$31,"CAUVY")+COUNTIF($K$4:$K$31,"CAUVY")</f>
        <v>4</v>
      </c>
      <c r="F39" s="361">
        <f>COUNTIF($D$4:$D$31,"CAUVY")+COUNTIF($G$4:$G$31,"CAUVY")</f>
        <v>0</v>
      </c>
      <c r="G39" s="361">
        <f>COUNTIF($E$4:$E$31,"CAUVY")</f>
        <v>1</v>
      </c>
      <c r="H39" s="361"/>
      <c r="I39" s="36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1">
        <f>COUNTIF($C$4:$C$31,"FONTAINE")+COUNTIF($I$4:$I$31,"FONTAINE")+COUNTIF($F$4:$F$31,"FONTAINE")+COUNTIF($K$4:$K$31,"FONTAINE")</f>
        <v>3</v>
      </c>
      <c r="F40" s="361">
        <f>COUNTIF($D$4:$D$31,"FONTAINE")+COUNTIF($G$4:$G$31,"FONTAINE")</f>
        <v>2</v>
      </c>
      <c r="G40" s="361">
        <f>COUNTIF($E$4:$E$31,"FONTAINE")</f>
        <v>0</v>
      </c>
      <c r="H40" s="161"/>
      <c r="I40" s="36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1">
        <f>COUNTIF($C$4:$C$31,"KANTCHE")+COUNTIF($I$4:$I$31,"KANTCHE")+COUNTIF($F$4:$F$31,"KANTCHE")+COUNTIF($K$4:$K$31,"KANTCHE")</f>
        <v>4</v>
      </c>
      <c r="F41" s="361">
        <f>COUNTIF($D$4:$D$31,"KANTCHE")+COUNTIF($G$4:$G$31,"KANTCHE")</f>
        <v>3</v>
      </c>
      <c r="G41" s="36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1">
        <f>COUNTIF($C$4:$C$31,"ORIOLI")+COUNTIF($I$4:$I$31,"ORIOLI")+COUNTIF($F$4:$F$31,"ORIOLI")+COUNTIF($K$4:$K$31,"ORIOLI")</f>
        <v>5</v>
      </c>
      <c r="F42" s="361">
        <f>COUNTIF($D$4:$D$31,"ORIOLI")+COUNTIF($G$4:$G$31,"ORIOLI")</f>
        <v>5</v>
      </c>
      <c r="G42" s="36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1">
        <f>COUNTIF($C$4:$C$31,"TKATCHOUK")+COUNTIF($I$4:$I$31,"TKATCHOUK")+COUNTIF($F$4:$F$31,"TKATCHOUK")+COUNTIF($K$4:$K$31,"TKATCHOUK")</f>
        <v>0</v>
      </c>
      <c r="F43" s="361">
        <f>COUNTIF($D$4:$D$31,"TKATCHOUK")+COUNTIF($G$4:$G$31,"TKATCHOUK")</f>
        <v>0</v>
      </c>
      <c r="G43" s="36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1">
        <f>COUNTIF($C$4:$C$31,"TORREGROSSA")+COUNTIF($I$4:$I$31,"TORREGROSSA")+COUNTIF($F$4:$F$31,"TORREGROSSA")+COUNTIF($K$4:$K$31,"TORREGROSSA")</f>
        <v>4</v>
      </c>
      <c r="F44" s="361">
        <f>COUNTIF($D$4:$D$31,"TORREGROSSA")+COUNTIF($G$4:$G$31,"TORREGROSSA")</f>
        <v>4</v>
      </c>
      <c r="G44" s="361">
        <f>COUNTIF($E$4:$E$31,"TORREGROSSA")</f>
        <v>0</v>
      </c>
      <c r="H44" s="36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1">
        <f>COUNTIF($C$4:$C$31,"BALLOT")+COUNTIF($F$4:$F$31,"BALLOT")+COUNTIF($I$4:$I$31,"BALLOT")+COUNTIF($K$4:$K$31,"BALLOT")</f>
        <v>2</v>
      </c>
      <c r="F45" s="361">
        <f>COUNTIF($D$4:$D$31,"BALLOT")+COUNTIF($G$4:$G$31,"BALLOT")</f>
        <v>0</v>
      </c>
      <c r="G45" s="361">
        <f>COUNTIF($E$4:$E$31,"BALLOT")</f>
        <v>3</v>
      </c>
      <c r="H45" s="36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1">
        <f>COUNTIF($C$4:$C$31,"MOREL")+COUNTIF($I$4:$I$31,"MOREL")+COUNTIF($F$4:$F$31,"MOREL")+COUNTIF($K$4:$K$31,"MOREL")</f>
        <v>5</v>
      </c>
      <c r="F46" s="361">
        <f>COUNTIF($D$4:$D$31,"MOREL")+COUNTIF($G$4:$G$31,"MOREL")</f>
        <v>0</v>
      </c>
      <c r="G46" s="361">
        <f>COUNTIF($E$4:$E$31,"MOREL")</f>
        <v>0</v>
      </c>
      <c r="H46" s="36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1">
        <f>COUNTIF($C$4:$C$31,"RACHIDI")+COUNTIF($I$4:$I$31,"RACHIDI")+COUNTIF($F$4:$F$31,"RACHIDI")+COUNTIF($K$4:$K$31,"RACHIDI")</f>
        <v>1</v>
      </c>
      <c r="F47" s="361">
        <f>COUNTIF($D$4:$D$31,"RACHIDI")+COUNTIF($G$4:$G$31,"RACHIDI")</f>
        <v>1</v>
      </c>
      <c r="G47" s="361">
        <f>COUNTIF($E$4:$E$31,"RACHIDI")</f>
        <v>0</v>
      </c>
      <c r="H47" s="36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1">
        <f>COUNTIF($C$4:$C$31,"ZEBICHE")+COUNTIF($F$4:$F$31,"ZEBICHE")+COUNTIF($I$4:$I$31,"ZEBICHE")+COUNTIF($K$4:$K$31,"ZEBICHE")</f>
        <v>9</v>
      </c>
      <c r="F48" s="361">
        <f>COUNTIF($D$4:$D$31,"ZEBICHE")+COUNTIF($G$4:$G$31,"ZEBICHE")</f>
        <v>9</v>
      </c>
      <c r="G48" s="361">
        <f>COUNTIF($E$4:$E$31,"ZEBICHE")</f>
        <v>0</v>
      </c>
      <c r="H48" s="36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1">
        <f>COUNTIF($C$4:$C$31,"HACHIMI")+COUNTIF($F$4:$F$31,"HACHIMI")+COUNTIF($H$4:$H$31,"HACHIMI")+COUNTIF($I$4:$I$31,"HACHIMI")+D58+COUNTIF($K$4:$K$31,"HACHIMI")</f>
        <v>8</v>
      </c>
      <c r="F49" s="361">
        <f>COUNTIF($D$4:$D$31,"HACHIMI")+COUNTIF($H$4:$H$31,"HACHIMI")+COUNTIF($G$4:$G$31,"HACHIMI")</f>
        <v>7</v>
      </c>
      <c r="G49" s="361">
        <f>COUNTIF($E$4:$E$31,"HACHIMI")</f>
        <v>2</v>
      </c>
      <c r="H49" s="36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1">
        <f>COUNTIF($C$4:$C$31,"BIENDOUX")+COUNTIF($H$4:$H$31,"BIENDOUX")+COUNTIF($I$4:$I$31,"BIENDOUX")+COUNTIF($F$4:$F$31,"BIENDOUX")+D59+COUNTIF($K$4:$K$31,"BIENDOUX")</f>
        <v>14</v>
      </c>
      <c r="F50" s="361">
        <v>4</v>
      </c>
      <c r="G50" s="361">
        <f>COUNTIF($E$4:$E$31,"BIENDOUX")</f>
        <v>0</v>
      </c>
      <c r="H50" s="36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1">
        <f>COUNTIF($C$4:$C$31,"AFZAL")+COUNTIF($H$4:$H$31,"AFZAL")+COUNTIF($I$4:$I$31,"AFZAL")+COUNTIF($F$4:$F$31,"AFZAL")+D60+COUNTIF($K$4:$K$31,"AFZAL")</f>
        <v>8</v>
      </c>
      <c r="F51" s="361">
        <v>9</v>
      </c>
      <c r="G51" s="361">
        <f>COUNTIF($E$4:$E$31,"AFZAL")</f>
        <v>1</v>
      </c>
      <c r="H51" s="36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1">
        <f>COUNTIF($C$4:$C$31,"IBRAHIM")+COUNTIF($H$4:$H$31,"IBRAHIM")+COUNTIF($I$4:$I$31,"IBRAHIM")+COUNTIF($K$4:$K$31,"IBRAHIM")+COUNTIF($F$4:$F$31,"IBRAHIM")+D61</f>
        <v>8</v>
      </c>
      <c r="F52" s="361">
        <v>6</v>
      </c>
      <c r="G52" s="361">
        <f>COUNTIF($E$4:$E$31,"IBRAHIM")</f>
        <v>3</v>
      </c>
      <c r="H52" s="36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1">
        <f>COUNTIF($C$4:$C$31,"IMAD")+COUNTIF($H$4:$H$31,"IMAD")+COUNTIF($I$4:$I$31,"IMAD")+COUNTIF($F$4:$F$31,"IMAD")+D62+COUNTIF($K$4:$K$31,"IMAD")</f>
        <v>6</v>
      </c>
      <c r="F53" s="361">
        <f>COUNTIF($D$4:$D$31,"IMAD")+COUNTIF($H$4:$H$31,"IMAD")+COUNTIF($G$4:$G$31,"IMAD")</f>
        <v>5</v>
      </c>
      <c r="G53" s="361">
        <f>COUNTIF($E$4:$E$31,"IMAD")</f>
        <v>1</v>
      </c>
      <c r="H53" s="36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1">
        <f>COUNTIF($C$4:$C$31,"RADO")+COUNTIF($H$4:$H$31,"RADO")+COUNTIF($I$4:$I$31,"RADO")+COUNTIF($F$4:$F$31,"RADO")+D63+COUNTIF($K$4:$K$31,"RADO")</f>
        <v>14</v>
      </c>
      <c r="F54" s="361">
        <f>COUNTIF($D$4:$D$31,"RADO")+COUNTIF($H$4:$H$31,"RADO")+COUNTIF($G$4:$G$31,"RADO")</f>
        <v>2</v>
      </c>
      <c r="G54" s="361">
        <f>COUNTIF($E$4:$E$31,"RADO")</f>
        <v>2</v>
      </c>
      <c r="H54" s="361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1">
        <f>COUNTIF($C$4:$C$31,"TODY")+COUNTIF($H$4:$H$31,"TODY")+COUNTIF($I$4:$I$31,"TODY")+COUNTIF($F$4:$F$31,"TODY")+D64+COUNTIF($K$4:$K$31,"TODY")</f>
        <v>11</v>
      </c>
      <c r="F55" s="361">
        <f>COUNTIF($D$4:$D$31,"TODY")+COUNTIF($H$4:$H$31,"TODY")+COUNTIF($G$4:$G$31,"TODY")</f>
        <v>2</v>
      </c>
      <c r="G55" s="361">
        <f>COUNTIF($E$4:$E$31,"TODY")</f>
        <v>2</v>
      </c>
      <c r="H55" s="36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1">
        <f>COUNTIF($C$4:$C$31,"RODRIGUE")+COUNTIF($H$4:$H$31,"RODRIGUE")+COUNTIF($I$4:$I$31,"RODRIGUE")+COUNTIF($F$4:$F$31,"RODRIGUE")+D65+COUNTIF($K$4:$K$31,"RODRIGUE")</f>
        <v>6</v>
      </c>
      <c r="F56" s="361">
        <f>COUNTIF($D$4:$D$31,"RODRIGUE")+COUNTIF($H$4:$H$31,"RODRIGUE")+COUNTIF($G$4:$G$31,"RODRIGUE")</f>
        <v>3</v>
      </c>
      <c r="G56" s="361">
        <f>COUNTIF($E$4:$E$31,"RODRIGUE")</f>
        <v>2</v>
      </c>
      <c r="H56" s="36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3" t="s">
        <v>174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</row>
    <row r="2" spans="1:20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6"/>
      <c r="O40" s="366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0" t="s">
        <v>64</v>
      </c>
      <c r="J41" s="360" t="s">
        <v>65</v>
      </c>
      <c r="K41" s="77" t="s">
        <v>66</v>
      </c>
      <c r="L41" s="360" t="s">
        <v>67</v>
      </c>
      <c r="M41" s="36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1">
        <f>COUNTIF($C$4:$C$38,"BOULAT")+COUNTIF($F$4:$F$38,"BOULAT")+COUNTIF($I$4:$I$38,"BOULAT")+COUNTIF($K$4:$K$38,"BOULAT")</f>
        <v>8</v>
      </c>
      <c r="F42" s="361">
        <f>COUNTIF($D$4:$D$38,"BOULAT")+COUNTIF($G$4:$G$38,"BOULAT")</f>
        <v>6</v>
      </c>
      <c r="G42" s="361">
        <f>COUNTIF($E$4:$E$38,"BOULAT")</f>
        <v>0</v>
      </c>
      <c r="H42" s="161"/>
      <c r="I42" s="36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1">
        <f>COUNTIF($C$4:$C$38,"BRUGIROUX")+COUNTIF($F$4:$F$38,"BRUGIROUX")+COUNTIF($I$4:$I$38,"BRUGIROUX")+COUNTIF($K$4:$K$38,"BRUGIROUX")</f>
        <v>7</v>
      </c>
      <c r="F43" s="361">
        <f>COUNTIF($D$4:$D$38,"BRUGIROUX")+COUNTIF($G$4:$G$38,"BRUGIROUX")</f>
        <v>10</v>
      </c>
      <c r="G43" s="361">
        <f>COUNTIF($E$4:$E$38,"BRUGIROUX")</f>
        <v>0</v>
      </c>
      <c r="H43" s="161">
        <v>1</v>
      </c>
      <c r="I43" s="361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1">
        <f>COUNTIF($C$4:$C$38,"CAUVY")+COUNTIF($F$4:$F$38,"CAUVY")+COUNTIF($I$4:$I$38,"CAUVY")+COUNTIF($K$4:$K$38,"CAUVY")</f>
        <v>2</v>
      </c>
      <c r="F44" s="361">
        <f>COUNTIF($D$4:$D$38,"CAUVY")+COUNTIF($G$4:$G$38,"CAUVY")</f>
        <v>0</v>
      </c>
      <c r="G44" s="361">
        <f>COUNTIF($E$4:$E$38,"CAUVY")</f>
        <v>1</v>
      </c>
      <c r="H44" s="361"/>
      <c r="I44" s="36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1">
        <f>COUNTIF($C$4:$C$38,"FONTAINE")+COUNTIF($F$4:$F$38,"FONTAINE")+COUNTIF($I$4:$I$38,"FONTAINE")+COUNTIF($K$4:$K$38,"FONTAINE")</f>
        <v>5</v>
      </c>
      <c r="F45" s="361">
        <f>COUNTIF($D$4:$D$38,"FONTAINE")+COUNTIF($G$4:$G$38,"FONTAINE")</f>
        <v>4</v>
      </c>
      <c r="G45" s="361">
        <f>COUNTIF($E$4:$E$38,"FONTAINE")</f>
        <v>1</v>
      </c>
      <c r="H45" s="161"/>
      <c r="I45" s="36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1">
        <f>COUNTIF($C$4:$C$38,"KANTCHE")+COUNTIF($F$4:$F$38,"KANTCHE")+COUNTIF($I$4:$I$38,"KANTCHE")+COUNTIF($K$4:$K$38,"KANTCHE")</f>
        <v>5</v>
      </c>
      <c r="F46" s="361">
        <f>COUNTIF($D$4:$D$38,"KANTCHE")+COUNTIF($G$4:$G$38,"KANTCHE")</f>
        <v>1</v>
      </c>
      <c r="G46" s="36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1">
        <f>COUNTIF($C$4:$C$38,"ORIOLI")+COUNTIF($F$4:$F$38,"ORIOLI")+COUNTIF($I$4:$I$38,"ORIOLI")+COUNTIF($K$4:$K$38,"ORIOLI")</f>
        <v>7</v>
      </c>
      <c r="F47" s="361">
        <f>COUNTIF($D$4:$D$38,"ORIOLI")+COUNTIF($G$4:$G$38,"ORIOLI")</f>
        <v>7</v>
      </c>
      <c r="G47" s="36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1">
        <f>COUNTIF($C$4:$C$38,"TKATCHOUK")+COUNTIF($F$4:$F$38,"TKATCHOUK")+COUNTIF($I$4:$I$38,"TKATCHOUK")+COUNTIF($K$4:$K$38,"TKATCHOUK")</f>
        <v>0</v>
      </c>
      <c r="F48" s="361">
        <f>COUNTIF($D$4:$D$38,"TKATCHOUK")+COUNTIF($G$4:$G$38,"TKATCHOUK")</f>
        <v>0</v>
      </c>
      <c r="G48" s="36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1">
        <f>COUNTIF($C$4:$C$38,"TORREGROSSA")+COUNTIF($F$4:$F$38,"TORREGROSSA")+COUNTIF($K$4:$K$38,"TORREGROSSA")+COUNTIF($I$4:$I$38,"TORREGROSSA")</f>
        <v>10</v>
      </c>
      <c r="F49" s="361">
        <f>COUNTIF($D$4:$D$38,"TORREGROSSA")+COUNTIF($G$4:$G$38,"TORREGROSSA")</f>
        <v>3</v>
      </c>
      <c r="G49" s="361">
        <f>COUNTIF($E$4:$E$38,"TORREGROSSA")</f>
        <v>0</v>
      </c>
      <c r="H49" s="36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1">
        <f>COUNTIF($C$4:$C$38,"BALLOT")+COUNTIF($F$4:$F$38,"BALLOT")+COUNTIF($I$4:$I$38,"BALLOT")+COUNTIF($K$4:$K$38,"BALLOT")</f>
        <v>1</v>
      </c>
      <c r="F50" s="361">
        <f>COUNTIF($D$4:$D$38,"BALLOT")+COUNTIF($G$4:$G$38,"BALLOT")</f>
        <v>0</v>
      </c>
      <c r="G50" s="361">
        <f>COUNTIF($E$4:$E$38,"BALLOT")</f>
        <v>2</v>
      </c>
      <c r="H50" s="36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1">
        <f>COUNTIF($C$4:$C$38,"MOREL")+COUNTIF($F$4:$F$38,"MOREL")+COUNTIF($I$4:$I$38,"MOREL")+COUNTIF($K$4:$K$38,"MOREL")</f>
        <v>8</v>
      </c>
      <c r="F51" s="361">
        <f>COUNTIF($D$4:$D$38,"MOREL")+COUNTIF($G$4:$G$38,"MOREL")</f>
        <v>0</v>
      </c>
      <c r="G51" s="361">
        <f>COUNTIF($E$4:$E$38,"MOREL")</f>
        <v>0</v>
      </c>
      <c r="H51" s="36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1">
        <f>COUNTIF($C$4:$C$38,"RACHIDI")+COUNTIF($F$4:$F$38,"RACHIDI")+COUNTIF($I$4:$I$38,"RACHIDI")+COUNTIF($K$4:$K$38,"RACHIDI")</f>
        <v>6</v>
      </c>
      <c r="F52" s="361">
        <f>COUNTIF($D$4:$D$38,"RACHIDI")+COUNTIF($G$4:$G$38,"RACHIDI")</f>
        <v>8</v>
      </c>
      <c r="G52" s="361">
        <f>COUNTIF($E$4:$E$38,"RACHIDI")</f>
        <v>0</v>
      </c>
      <c r="H52" s="36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1">
        <f>COUNTIF($C$4:$C$38,"ZEBICHE")+COUNTIF($F$4:$F$38,"ZEBICHE")+COUNTIF($I$4:$I$38,"ZEBICHE")+COUNTIF($K$4:$K$38,"ZEBICHE")</f>
        <v>9</v>
      </c>
      <c r="F53" s="361">
        <f>COUNTIF($D$4:$D$38,"ZEBICHE")+COUNTIF($G$4:$G$38,"ZEBICHE")</f>
        <v>9</v>
      </c>
      <c r="G53" s="361">
        <f>COUNTIF($E$4:$E$38,"ZEBICHE")</f>
        <v>0</v>
      </c>
      <c r="H53" s="36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1">
        <f>COUNTIF($C$4:$C$38,"HACHIMI")+COUNTIF($F$4:$F$38,"HACHIMI")+COUNTIF($H$4:$H$38,"HACHIMI")+COUNTIF($I$4:$I$38,"HACHIMI")+H65+COUNTIF($K$4:$K$38,"HACHIMI")</f>
        <v>5</v>
      </c>
      <c r="F54" s="361">
        <v>5</v>
      </c>
      <c r="G54" s="361">
        <f>COUNTIF($E$4:$E$38,"HACHIMI")</f>
        <v>0</v>
      </c>
      <c r="H54" s="36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1">
        <f>COUNTIF($C$4:$C$38,"BIENDOUX")+COUNTIF($F$4:$F$38,"BIENDOUX")+COUNTIF($H$4:$H$38,"BIENDOUX")+COUNTIF($I$4:$I$38,"BIENDOUX")+H66+COUNTIF($K$4:$K$38,"BIENDOUX")</f>
        <v>14</v>
      </c>
      <c r="F55" s="361">
        <v>5</v>
      </c>
      <c r="G55" s="361">
        <f>COUNTIF($E$4:$E$38,"BIENDOUX")</f>
        <v>1</v>
      </c>
      <c r="H55" s="36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1">
        <v>9</v>
      </c>
      <c r="G56" s="361">
        <f>COUNTIF($E$4:$E$38,"AFZAL")</f>
        <v>1</v>
      </c>
      <c r="H56" s="36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1">
        <v>8</v>
      </c>
      <c r="F57" s="361">
        <v>9</v>
      </c>
      <c r="G57" s="361">
        <f>COUNTIF($E$4:$E$38,"IBRAHIM")</f>
        <v>3</v>
      </c>
      <c r="H57" s="36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1">
        <f>COUNTIF($D$4:$D$38,"IMAD")+COUNTIF($H$4:$H$38,"IMAD")+COUNTIF($G$4:$G$38,"IMAD")</f>
        <v>3</v>
      </c>
      <c r="G58" s="361">
        <f>COUNTIF($E$4:$E$38,"IMAD")</f>
        <v>1</v>
      </c>
      <c r="H58" s="36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2" t="s">
        <v>57</v>
      </c>
      <c r="D63" s="362"/>
      <c r="E63" s="362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1" zoomScale="111" zoomScaleNormal="111" workbookViewId="0">
      <selection activeCell="I40" sqref="I40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189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27" t="s">
        <v>22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7" t="s">
        <v>20</v>
      </c>
      <c r="I21" s="32"/>
      <c r="J21" s="275"/>
      <c r="K21" s="275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9" t="s">
        <v>196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4" t="s">
        <v>102</v>
      </c>
      <c r="H27" s="104" t="s">
        <v>168</v>
      </c>
      <c r="I27" s="27"/>
      <c r="J27" s="370"/>
      <c r="K27" s="64"/>
      <c r="L27" s="276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6" t="s">
        <v>53</v>
      </c>
      <c r="B33" s="366"/>
      <c r="C33" s="366"/>
      <c r="D33" s="36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36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110</v>
      </c>
      <c r="M44" s="238">
        <f t="shared" si="2"/>
        <v>-7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164</v>
      </c>
      <c r="M49" s="238">
        <f t="shared" si="2"/>
        <v>47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168</v>
      </c>
      <c r="M54" s="238">
        <f t="shared" si="2"/>
        <v>35.400000000000006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184</v>
      </c>
      <c r="M56" s="238">
        <f t="shared" si="2"/>
        <v>51.400000000000006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J5:L7 D30:K30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A11" zoomScale="112" zoomScaleNormal="112" workbookViewId="0">
      <selection activeCell="I40" sqref="I4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3" t="s">
        <v>197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200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201</v>
      </c>
      <c r="M4" s="30"/>
      <c r="N4" s="28" t="s">
        <v>202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201</v>
      </c>
      <c r="M5" s="34"/>
      <c r="N5" s="28" t="s">
        <v>202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203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203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203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204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204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204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204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204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0" t="s">
        <v>196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205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206</v>
      </c>
      <c r="M25" s="30"/>
      <c r="N25" s="275" t="s">
        <v>207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8" t="s">
        <v>20</v>
      </c>
      <c r="K26" s="32"/>
      <c r="L26" s="30" t="s">
        <v>206</v>
      </c>
      <c r="M26" s="30"/>
      <c r="N26" s="275" t="s">
        <v>207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206</v>
      </c>
      <c r="M27" s="30"/>
      <c r="N27" s="275" t="s">
        <v>207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206</v>
      </c>
      <c r="M28" s="30"/>
      <c r="N28" s="275" t="s">
        <v>207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206</v>
      </c>
      <c r="M29" s="30"/>
      <c r="N29" s="275" t="s">
        <v>207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50" t="s">
        <v>196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6" t="s">
        <v>53</v>
      </c>
      <c r="B33" s="366"/>
      <c r="C33" s="366"/>
      <c r="D33" s="366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362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158</v>
      </c>
      <c r="M40" s="238">
        <f t="shared" si="2"/>
        <v>56.599999999999994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A22" zoomScale="112" zoomScaleNormal="112" workbookViewId="0">
      <selection activeCell="I47" sqref="I4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3" t="s">
        <v>208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160</v>
      </c>
      <c r="K3" s="13" t="s">
        <v>209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210</v>
      </c>
      <c r="J4" s="27" t="s">
        <v>38</v>
      </c>
      <c r="K4" s="28"/>
      <c r="L4" s="172" t="s">
        <v>211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1" t="s">
        <v>19</v>
      </c>
      <c r="I5" s="63"/>
      <c r="J5" s="24" t="s">
        <v>29</v>
      </c>
      <c r="K5" s="32"/>
      <c r="L5" s="172" t="s">
        <v>211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211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211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51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211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210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210</v>
      </c>
      <c r="J11" s="24" t="s">
        <v>29</v>
      </c>
      <c r="K11" s="28"/>
      <c r="L11" s="172" t="s">
        <v>211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1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211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1" t="s">
        <v>19</v>
      </c>
      <c r="K14" s="28"/>
      <c r="L14" s="172" t="s">
        <v>211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210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210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51" t="s">
        <v>19</v>
      </c>
      <c r="F20" s="352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212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51" t="s">
        <v>19</v>
      </c>
      <c r="F22" s="352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0" t="s">
        <v>196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213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213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213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213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213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0" t="s">
        <v>196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214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1" t="s">
        <v>19</v>
      </c>
      <c r="K33" s="32"/>
      <c r="L33" s="30" t="s">
        <v>52</v>
      </c>
      <c r="M33" s="30"/>
      <c r="N33" s="28" t="s">
        <v>214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214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214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214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66" t="s">
        <v>53</v>
      </c>
      <c r="B40" s="366"/>
      <c r="C40" s="366"/>
      <c r="D40" s="366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2" t="s">
        <v>57</v>
      </c>
      <c r="M42" s="362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64</v>
      </c>
      <c r="J43" s="360" t="s">
        <v>65</v>
      </c>
      <c r="K43" s="36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topLeftCell="A22" zoomScale="111" zoomScaleNormal="111" workbookViewId="0">
      <selection activeCell="I50" sqref="I50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215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216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3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3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217</v>
      </c>
      <c r="M11" s="34"/>
      <c r="N11" s="34" t="s">
        <v>218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217</v>
      </c>
      <c r="M12" s="30"/>
      <c r="N12" s="34" t="s">
        <v>218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217</v>
      </c>
      <c r="M13" s="30"/>
      <c r="N13" s="34" t="s">
        <v>219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217</v>
      </c>
      <c r="M14" s="30"/>
      <c r="N14" s="34" t="s">
        <v>219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3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217</v>
      </c>
      <c r="M15" s="30"/>
      <c r="N15" s="34" t="s">
        <v>218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3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0" t="s">
        <v>196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0" t="s">
        <v>196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220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220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220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220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0" t="s">
        <v>196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6" t="s">
        <v>53</v>
      </c>
      <c r="B33" s="366"/>
      <c r="C33" s="366"/>
      <c r="D33" s="36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2" t="s">
        <v>57</v>
      </c>
      <c r="M35" s="36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6" t="s">
        <v>38</v>
      </c>
      <c r="D37" s="357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6" t="s">
        <v>36</v>
      </c>
      <c r="D38" s="357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56" t="s">
        <v>21</v>
      </c>
      <c r="D39" s="358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356" t="s">
        <v>31</v>
      </c>
      <c r="D40" s="358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5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>
      <c r="A45" s="3"/>
      <c r="B45" s="3"/>
      <c r="C45" s="321" t="s">
        <v>19</v>
      </c>
      <c r="D45" s="359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9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59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9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9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9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59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9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9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9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9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9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0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69" t="s">
        <v>38</v>
      </c>
      <c r="B58" s="369"/>
      <c r="C58" s="272">
        <f>SEPTEMBRE!K37+OCTOBRE!K37+NOVEMBRE!K44+DECEMBRE!K37</f>
        <v>569.4</v>
      </c>
      <c r="D58" s="102">
        <f>SEPTEMBRE!L37+OCTOBRE!L37+NOVEMBRE!L44+DECEMBRE!L37</f>
        <v>588</v>
      </c>
      <c r="E58" s="354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69" t="s">
        <v>36</v>
      </c>
      <c r="B59" s="369"/>
      <c r="C59" s="272">
        <f>SEPTEMBRE!K38+OCTOBRE!K38+NOVEMBRE!K45+DECEMBRE!K38</f>
        <v>522.6</v>
      </c>
      <c r="D59" s="102">
        <f>SEPTEMBRE!L38+OCTOBRE!L38+NOVEMBRE!L45+DECEMBRE!L38</f>
        <v>654</v>
      </c>
      <c r="E59" s="355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69" t="s">
        <v>21</v>
      </c>
      <c r="B60" s="369"/>
      <c r="C60" s="272">
        <f>SEPTEMBRE!K39+OCTOBRE!K39+NOVEMBRE!K46+DECEMBRE!K39</f>
        <v>312</v>
      </c>
      <c r="D60" s="102">
        <f>SEPTEMBRE!L39+OCTOBRE!L39+NOVEMBRE!L46+DECEMBRE!L39</f>
        <v>380</v>
      </c>
      <c r="E60" s="355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69" t="s">
        <v>31</v>
      </c>
      <c r="B61" s="369"/>
      <c r="C61" s="272">
        <f>SEPTEMBRE!K40+OCTOBRE!K40+NOVEMBRE!K47+DECEMBRE!K40</f>
        <v>418.08</v>
      </c>
      <c r="D61" s="102">
        <f>SEPTEMBRE!L40+OCTOBRE!L40+NOVEMBRE!L47+DECEMBRE!L40</f>
        <v>604</v>
      </c>
      <c r="E61" s="355">
        <f>D61-C61</f>
        <v>185.92000000000002</v>
      </c>
      <c r="F61" s="163">
        <f t="shared" si="4"/>
        <v>7.746666666666667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68" t="s">
        <v>28</v>
      </c>
      <c r="B62" s="368"/>
      <c r="C62" s="272">
        <f>SEPTEMBRE!K41+OCTOBRE!K41+NOVEMBRE!K48+DECEMBRE!K41</f>
        <v>383.76</v>
      </c>
      <c r="D62" s="102">
        <f>SEPTEMBRE!L41+OCTOBRE!L41+NOVEMBRE!L48+DECEMBRE!L41</f>
        <v>420</v>
      </c>
      <c r="E62" s="355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68" t="s">
        <v>42</v>
      </c>
      <c r="B63" s="368"/>
      <c r="C63" s="272">
        <f>SEPTEMBRE!K42+OCTOBRE!K42+NOVEMBRE!K49+DECEMBRE!K42</f>
        <v>491.4</v>
      </c>
      <c r="D63" s="102">
        <f>SEPTEMBRE!L42+OCTOBRE!L42+NOVEMBRE!L49+DECEMBRE!L42</f>
        <v>526</v>
      </c>
      <c r="E63" s="355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68" t="s">
        <v>47</v>
      </c>
      <c r="B64" s="368"/>
      <c r="C64" s="272">
        <f>SEPTEMBRE!K43+OCTOBRE!K43+NOVEMBRE!K50+DECEMBRE!K43</f>
        <v>280.8</v>
      </c>
      <c r="D64" s="102">
        <f>SEPTEMBRE!L43+OCTOBRE!L43+NOVEMBRE!L50+DECEMBRE!L43</f>
        <v>288</v>
      </c>
      <c r="E64" s="355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68" t="s">
        <v>20</v>
      </c>
      <c r="B65" s="368"/>
      <c r="C65" s="272">
        <f>SEPTEMBRE!K44+OCTOBRE!K44+NOVEMBRE!K51+DECEMBRE!K44</f>
        <v>522.6</v>
      </c>
      <c r="D65" s="102">
        <f>SEPTEMBRE!L44+OCTOBRE!L44+NOVEMBRE!L51+DECEMBRE!L44</f>
        <v>578</v>
      </c>
      <c r="E65" s="355">
        <f t="shared" si="5"/>
        <v>55.399999999999977</v>
      </c>
      <c r="F65" s="163">
        <f t="shared" si="4"/>
        <v>2.3083333333333322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68" t="s">
        <v>19</v>
      </c>
      <c r="B66" s="368"/>
      <c r="C66" s="272">
        <f>SEPTEMBRE!K45+OCTOBRE!K45+NOVEMBRE!K52+DECEMBRE!K45</f>
        <v>216.84</v>
      </c>
      <c r="D66" s="102">
        <f>SEPTEMBRE!L45+OCTOBRE!L45+NOVEMBRE!L52+DECEMBRE!L45</f>
        <v>224</v>
      </c>
      <c r="E66" s="355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68" t="s">
        <v>37</v>
      </c>
      <c r="B67" s="368"/>
      <c r="C67" s="272">
        <f>SEPTEMBRE!K46+OCTOBRE!K46+NOVEMBRE!K53+DECEMBRE!K46</f>
        <v>232.44</v>
      </c>
      <c r="D67" s="102">
        <f>SEPTEMBRE!L46+OCTOBRE!L46+NOVEMBRE!L53+DECEMBRE!L46</f>
        <v>240</v>
      </c>
      <c r="E67" s="355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68" t="s">
        <v>27</v>
      </c>
      <c r="B68" s="368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55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68" t="s">
        <v>34</v>
      </c>
      <c r="B69" s="368"/>
      <c r="C69" s="272">
        <f>SEPTEMBRE!K48+OCTOBRE!K48+NOVEMBRE!K55+DECEMBRE!K48</f>
        <v>374.4</v>
      </c>
      <c r="D69" s="102">
        <f>SEPTEMBRE!L48+OCTOBRE!L48+NOVEMBRE!L55+DECEMBRE!L48</f>
        <v>456</v>
      </c>
      <c r="E69" s="355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68" t="s">
        <v>22</v>
      </c>
      <c r="B70" s="368"/>
      <c r="C70" s="272">
        <f>SEPTEMBRE!K49+OCTOBRE!K49+NOVEMBRE!K56+DECEMBRE!K49</f>
        <v>585</v>
      </c>
      <c r="D70" s="102">
        <f>SEPTEMBRE!L49+OCTOBRE!L49+NOVEMBRE!L56+DECEMBRE!L49</f>
        <v>628</v>
      </c>
      <c r="E70" s="355">
        <f t="shared" si="5"/>
        <v>43</v>
      </c>
      <c r="F70" s="163">
        <f t="shared" si="4"/>
        <v>1.7916666666666667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68" t="s">
        <v>29</v>
      </c>
      <c r="B71" s="368"/>
      <c r="C71" s="272">
        <f>SEPTEMBRE!K50+OCTOBRE!K50+NOVEMBRE!K57+DECEMBRE!K50</f>
        <v>561.6</v>
      </c>
      <c r="D71" s="102">
        <f>SEPTEMBRE!L50+OCTOBRE!L50+NOVEMBRE!L57+DECEMBRE!L50</f>
        <v>568</v>
      </c>
      <c r="E71" s="355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68" t="s">
        <v>48</v>
      </c>
      <c r="B72" s="368"/>
      <c r="C72" s="272">
        <f>SEPTEMBRE!K51+OCTOBRE!K51+NOVEMBRE!K58+DECEMBRE!K51</f>
        <v>499.2</v>
      </c>
      <c r="D72" s="102">
        <f>SEPTEMBRE!L51+OCTOBRE!L51+NOVEMBRE!L58+DECEMBRE!L51</f>
        <v>512</v>
      </c>
      <c r="E72" s="355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68" t="s">
        <v>44</v>
      </c>
      <c r="B73" s="368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68" t="s">
        <v>23</v>
      </c>
      <c r="B74" s="368"/>
      <c r="C74" s="272">
        <f>SEPTEMBRE!K53+OCTOBRE!K53+NOVEMBRE!K60+DECEMBRE!K53</f>
        <v>530.4</v>
      </c>
      <c r="D74" s="102">
        <f>SEPTEMBRE!L53+OCTOBRE!L53+NOVEMBRE!L60+DECEMBRE!L53</f>
        <v>534</v>
      </c>
      <c r="E74" s="355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68" t="s">
        <v>32</v>
      </c>
      <c r="B75" s="368"/>
      <c r="C75" s="272">
        <f>SEPTEMBRE!K54+OCTOBRE!K54+NOVEMBRE!K61+DECEMBRE!K54</f>
        <v>546</v>
      </c>
      <c r="D75" s="102">
        <f>SEPTEMBRE!L54+OCTOBRE!L54+NOVEMBRE!L61+DECEMBRE!L54</f>
        <v>750</v>
      </c>
      <c r="E75" s="355">
        <f t="shared" si="5"/>
        <v>204</v>
      </c>
      <c r="F75" s="163">
        <f t="shared" si="4"/>
        <v>8.5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68" t="s">
        <v>102</v>
      </c>
      <c r="B76" s="368"/>
      <c r="C76" s="272">
        <f>SEPTEMBRE!K55+OCTOBRE!K55+NOVEMBRE!K62+DECEMBRE!K55</f>
        <v>546</v>
      </c>
      <c r="D76" s="102">
        <f>SEPTEMBRE!L55+OCTOBRE!L55+NOVEMBRE!L62+DECEMBRE!L55</f>
        <v>594</v>
      </c>
      <c r="E76" s="355">
        <f t="shared" si="5"/>
        <v>48</v>
      </c>
      <c r="F76" s="163">
        <f t="shared" si="4"/>
        <v>2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67" t="s">
        <v>168</v>
      </c>
      <c r="B77" s="367"/>
      <c r="C77" s="272">
        <f>SEPTEMBRE!K56+OCTOBRE!K56+NOVEMBRE!K63+DECEMBRE!K56</f>
        <v>546</v>
      </c>
      <c r="D77" s="102">
        <f>SEPTEMBRE!L56+OCTOBRE!L56+NOVEMBRE!L63+DECEMBRE!L56</f>
        <v>580</v>
      </c>
      <c r="E77" s="355">
        <f t="shared" si="5"/>
        <v>34</v>
      </c>
      <c r="F77" s="163">
        <f t="shared" si="4"/>
        <v>1.4166666666666667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41</v>
      </c>
      <c r="K78" s="86">
        <f t="shared" si="7"/>
        <v>3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27</v>
      </c>
      <c r="K88" s="324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F10:K10 E11:K11 F4:L4 E13:K13 F14:K14 F8:L8 F16:F31 H16:K16 E17:E31 G17:K17 F12:K12 K19:K21 K23:K26 C25:D28 K28:K31 G18:J31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2026-09-07T09:15:46Z</dcterms:modified>
  <cp:category/>
  <cp:contentStatus/>
</cp:coreProperties>
</file>