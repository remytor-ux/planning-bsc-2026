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4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0" documentId="8_{03517495-7B4D-4AB1-AFC4-9C4683C37436}" xr6:coauthVersionLast="47" xr6:coauthVersionMax="47" xr10:uidLastSave="{00000000-0000-0000-0000-000000000000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<sst xmlns="http://schemas.openxmlformats.org/spreadsheetml/2006/main" count="4203" uniqueCount="221">
  <si>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</si>
  <si>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</si>
  <si>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</si>
  <si>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</si>
  <si>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</si>
  <si>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</si>
  <si>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</si>
  <si>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</si>
  <si>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</si>
  <si>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</si>
  <si>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</si>
  <si>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</si>
  <si>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</si>
  <si>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</si>
  <si>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</si>
  <si>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</si>
  <si>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</si>
  <si>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</si>
  <si>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</si>
  <si>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</si>
  <si>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</si>
  <si>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</si>
  <si>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</si>
  <si>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</si>
  <si>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</si>
  <si>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</si>
  <si>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</si>
  <si>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</si>
  <si>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</si>
  <si>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</si>
  <si>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</si>
  <si>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</si>
  <si>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</si>
  <si>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</si>
  <si>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</si>
  <si>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</si>
  <si>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</si>
  <si>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</si>
  <si>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</si>
  <si>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</si>
  <si>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</si>
  <si>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</si>
  <si>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</si>
  <si>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</si>
  <si>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</si>
  <si>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</si>
  <si>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</si>
  <si>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</si>
  <si>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</si>
  <si>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</si>
  <si>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</si>
  <si>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</si>
  <si>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</si>
  <si>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</si>
  <si>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</si>
  <si>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</si>
  <si>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</si>
  <si>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</si>
  <si>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</si>
  <si>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</si>
  <si>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</si>
  <si>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</si>
  <si>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</si>
  <si>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</si>
  <si>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</si>
  <si>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</si>
  <si>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</si>
  <si>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</si>
  <si>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</si>
  <si>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</si>
  <si>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</si>
  <si>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</si>
  <si>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</si>
  <si>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</si>
  <si>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</si>
  <si>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</si>
  <si>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</si>
  <si>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</si>
  <si>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</si>
  <si>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</si>
  <si>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</si>
  <si>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</si>
  <si>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</si>
  <si>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</si>
  <si>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</si>
  <si>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</si>
  <si>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</si>
  <si>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</si>
  <si>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</si>
  <si>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</si>
  <si>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</si>
  <si>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</si>
  <si>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</si>
  <si>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</si>
  <si>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</si>
  <si>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</si>
  <si>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</si>
  <si>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</si>
  <si>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</si>
  <si>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</si>
  <si>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</si>
  <si>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</si>
  <si>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</si>
  <si>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</si>
  <si>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</si>
  <si>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</si>
  <si>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</si>
  <si>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</si>
  <si>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</si>
  <si>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</si>
  <si>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</si>
  <si>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</si>
  <si>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</si>
  <si>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</si>
  <si>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</si>
  <si>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</si>
  <si>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</si>
  <si>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</si>
  <si>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KANCHE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</si>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</sst>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0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72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101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2" t="s">
        <v>57</v>
      </c>
      <c r="D60" s="342"/>
      <c r="E60" s="34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topLeftCell="C11"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3" t="s">
        <v>115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118</v>
      </c>
      <c r="F5" s="32" t="s">
        <v>27</v>
      </c>
      <c r="G5" s="33" t="s">
        <v>27</v>
      </c>
      <c r="H5" s="32" t="s">
        <v>119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120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121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118</v>
      </c>
      <c r="H12" s="49"/>
      <c r="I12" s="27" t="s">
        <v>28</v>
      </c>
      <c r="J12" s="182"/>
      <c r="K12" s="183" t="s">
        <v>122</v>
      </c>
      <c r="L12" s="180"/>
      <c r="M12" s="30" t="s">
        <v>123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121</v>
      </c>
      <c r="L13" s="180"/>
      <c r="M13" s="30" t="s">
        <v>123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123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124</v>
      </c>
      <c r="M15" s="30" t="s">
        <v>123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120</v>
      </c>
      <c r="J16" s="42"/>
      <c r="K16" s="43"/>
      <c r="L16" s="55"/>
      <c r="M16" s="55" t="s">
        <v>123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125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126</v>
      </c>
      <c r="M18" s="188" t="s">
        <v>125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126</v>
      </c>
      <c r="M19" s="188" t="s">
        <v>125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127</v>
      </c>
      <c r="M20" s="188" t="s">
        <v>125</v>
      </c>
      <c r="N20" s="28"/>
      <c r="O20" s="30"/>
      <c r="P20" s="56"/>
      <c r="Q20" s="31"/>
      <c r="R20" s="3"/>
      <c r="S20" s="3"/>
      <c r="T20" s="3"/>
      <c r="U20" s="1" t="s">
        <v>128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129</v>
      </c>
      <c r="M21" s="188" t="s">
        <v>130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121</v>
      </c>
      <c r="L22" s="30" t="s">
        <v>131</v>
      </c>
      <c r="M22" s="188" t="s">
        <v>130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131</v>
      </c>
      <c r="M23" s="188" t="s">
        <v>130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132</v>
      </c>
      <c r="H24" s="25" t="s">
        <v>48</v>
      </c>
      <c r="I24" s="54" t="s">
        <v>21</v>
      </c>
      <c r="J24" s="42"/>
      <c r="K24" s="43"/>
      <c r="L24" s="55" t="s">
        <v>131</v>
      </c>
      <c r="M24" s="188" t="s">
        <v>130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133</v>
      </c>
      <c r="M25" s="188" t="s">
        <v>130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134</v>
      </c>
      <c r="M26" s="188" t="s">
        <v>130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121</v>
      </c>
      <c r="L27" s="30" t="s">
        <v>134</v>
      </c>
      <c r="M27" s="30" t="s">
        <v>123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134</v>
      </c>
      <c r="M28" s="30" t="s">
        <v>123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134</v>
      </c>
      <c r="M29" s="30" t="s">
        <v>123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133</v>
      </c>
      <c r="M30" s="55" t="s">
        <v>123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118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133</v>
      </c>
      <c r="M31" s="55" t="s">
        <v>123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4</v>
      </c>
      <c r="F41" s="90">
        <f>COUNTIF($D$4:$D$31,"KANTCHE")+COUNTIF($G$4:$G$31,"KANTCHE")</f>
        <v>2</v>
      </c>
      <c r="G41" s="90">
        <f>COUNTIF($E$4:$E$31,"KANTCHE")</f>
        <v>1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80</v>
      </c>
      <c r="N41" s="91">
        <f t="shared" si="2"/>
        <v>0.44000000000001194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12:G12 I12:I16 E13:F13 H13:H18 C14:E16 J14:K17 F16:G16 E17:G17 C18:D21 F18:G18 I18:I31 K18:K19 E19:G21 H20:H26 J20:J21 K21 D22:G22 C23:D23 F23:G23 J23:K25 D24:E24 G24:G29 E25:F26 J26 C27:F28 K27:K31 H28:H31 J28:J31 C29:D31 F29 E30:E31 F31:G31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20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3" t="s">
        <v>135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136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130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130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137</v>
      </c>
      <c r="I6" s="51" t="s">
        <v>102</v>
      </c>
      <c r="J6" s="32"/>
      <c r="K6" s="36" t="s">
        <v>29</v>
      </c>
      <c r="L6" s="202"/>
      <c r="M6" s="203" t="s">
        <v>130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138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120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139</v>
      </c>
      <c r="I11" s="51" t="s">
        <v>23</v>
      </c>
      <c r="J11" s="27"/>
      <c r="K11" s="28"/>
      <c r="L11" s="29" t="s">
        <v>140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140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141</v>
      </c>
      <c r="I13" s="51" t="s">
        <v>48</v>
      </c>
      <c r="J13" s="48"/>
      <c r="K13" s="36"/>
      <c r="L13" s="29" t="s">
        <v>140</v>
      </c>
      <c r="M13" s="30"/>
      <c r="N13" s="35" t="s">
        <v>142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143</v>
      </c>
      <c r="I14" s="32" t="s">
        <v>28</v>
      </c>
      <c r="J14" s="30"/>
      <c r="K14" s="28"/>
      <c r="L14" s="29" t="s">
        <v>140</v>
      </c>
      <c r="M14" s="30"/>
      <c r="N14" s="35" t="s">
        <v>144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140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145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145</v>
      </c>
      <c r="M19" s="30"/>
      <c r="N19" s="30" t="s">
        <v>146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147</v>
      </c>
      <c r="I20" s="32" t="s">
        <v>37</v>
      </c>
      <c r="J20" s="33" t="s">
        <v>36</v>
      </c>
      <c r="K20" s="36"/>
      <c r="L20" s="30" t="s">
        <v>145</v>
      </c>
      <c r="M20" s="30"/>
      <c r="N20" s="30" t="s">
        <v>148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149</v>
      </c>
      <c r="I21" s="32" t="s">
        <v>28</v>
      </c>
      <c r="J21" s="48"/>
      <c r="K21" s="48" t="s">
        <v>20</v>
      </c>
      <c r="L21" s="30" t="s">
        <v>145</v>
      </c>
      <c r="M21" s="30"/>
      <c r="N21" s="30" t="s">
        <v>150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151</v>
      </c>
      <c r="L22" s="30" t="s">
        <v>152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152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153</v>
      </c>
      <c r="I24" s="51" t="s">
        <v>102</v>
      </c>
      <c r="J24" s="42"/>
      <c r="K24" s="59"/>
      <c r="L24" s="60" t="s">
        <v>152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154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154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155</v>
      </c>
      <c r="I27" s="27" t="s">
        <v>21</v>
      </c>
      <c r="J27" s="63"/>
      <c r="K27" s="64"/>
      <c r="L27" s="61" t="s">
        <v>154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154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154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154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156</v>
      </c>
      <c r="I31" s="110" t="s">
        <v>21</v>
      </c>
      <c r="J31" s="43"/>
      <c r="K31" s="42"/>
      <c r="L31" s="70" t="s">
        <v>157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158</v>
      </c>
      <c r="I32" s="132" t="s">
        <v>22</v>
      </c>
      <c r="J32" s="48" t="s">
        <v>20</v>
      </c>
      <c r="K32" s="32"/>
      <c r="L32" s="212" t="s">
        <v>157</v>
      </c>
      <c r="M32" s="203" t="s">
        <v>130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157</v>
      </c>
      <c r="M33" s="203" t="s">
        <v>130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137</v>
      </c>
      <c r="I34" s="51" t="s">
        <v>44</v>
      </c>
      <c r="J34" s="48"/>
      <c r="K34" s="48" t="s">
        <v>20</v>
      </c>
      <c r="L34" s="212" t="s">
        <v>157</v>
      </c>
      <c r="M34" s="203" t="s">
        <v>130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157</v>
      </c>
      <c r="M35" s="203" t="s">
        <v>130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157</v>
      </c>
      <c r="M36" s="203" t="s">
        <v>130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120</v>
      </c>
      <c r="J37" s="42"/>
      <c r="K37" s="130"/>
      <c r="L37" s="214" t="s">
        <v>157</v>
      </c>
      <c r="M37" s="215" t="s">
        <v>130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120</v>
      </c>
      <c r="J38" s="42"/>
      <c r="K38" s="43"/>
      <c r="L38" s="214" t="s">
        <v>157</v>
      </c>
      <c r="M38" s="215" t="s">
        <v>130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159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159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7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3" t="s">
        <v>160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161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162</v>
      </c>
      <c r="M4" s="188" t="s">
        <v>130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162</v>
      </c>
      <c r="M5" s="188" t="s">
        <v>130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137</v>
      </c>
      <c r="I6" s="204" t="s">
        <v>137</v>
      </c>
      <c r="J6" s="32"/>
      <c r="K6" s="28" t="s">
        <v>29</v>
      </c>
      <c r="L6" s="224" t="s">
        <v>162</v>
      </c>
      <c r="M6" s="188" t="s">
        <v>130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163</v>
      </c>
      <c r="M7" s="188" t="s">
        <v>130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164</v>
      </c>
      <c r="M8" s="188" t="s">
        <v>130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120</v>
      </c>
      <c r="J9" s="42"/>
      <c r="K9" s="43"/>
      <c r="L9" s="225" t="s">
        <v>164</v>
      </c>
      <c r="M9" s="188" t="s">
        <v>130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165</v>
      </c>
      <c r="I10" s="132" t="s">
        <v>32</v>
      </c>
      <c r="J10" s="42"/>
      <c r="K10" s="43"/>
      <c r="L10" s="225" t="s">
        <v>164</v>
      </c>
      <c r="M10" s="188" t="s">
        <v>130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164</v>
      </c>
      <c r="M11" s="188" t="s">
        <v>130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164</v>
      </c>
      <c r="M12" s="188" t="s">
        <v>130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164</v>
      </c>
      <c r="M13" s="188" t="s">
        <v>130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164</v>
      </c>
      <c r="M14" s="188" t="s">
        <v>130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166</v>
      </c>
      <c r="M15" s="188" t="s">
        <v>130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167</v>
      </c>
      <c r="M16" s="188" t="s">
        <v>130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166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168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169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168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169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137</v>
      </c>
      <c r="I20" s="32" t="s">
        <v>21</v>
      </c>
      <c r="K20" s="32" t="s">
        <v>48</v>
      </c>
      <c r="L20" s="224" t="s">
        <v>168</v>
      </c>
      <c r="M20" s="30" t="s">
        <v>75</v>
      </c>
      <c r="N20" s="28"/>
      <c r="O20" s="34"/>
      <c r="P20" s="3"/>
      <c r="Q20" s="3"/>
      <c r="R20" s="3"/>
      <c r="S20" s="1" t="s">
        <v>128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168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169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168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169</v>
      </c>
      <c r="I23" s="132" t="s">
        <v>102</v>
      </c>
      <c r="J23" s="42"/>
      <c r="K23" s="43"/>
      <c r="L23" s="55" t="s">
        <v>170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120</v>
      </c>
      <c r="J24" s="42"/>
      <c r="K24" s="43"/>
      <c r="L24" s="55" t="s">
        <v>171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169</v>
      </c>
      <c r="I25" s="32" t="s">
        <v>28</v>
      </c>
      <c r="J25" s="48"/>
      <c r="K25" s="132" t="s">
        <v>44</v>
      </c>
      <c r="L25" s="180" t="s">
        <v>172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172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169</v>
      </c>
      <c r="F27" s="132" t="s">
        <v>44</v>
      </c>
      <c r="G27" s="132" t="s">
        <v>44</v>
      </c>
      <c r="H27" s="233" t="s">
        <v>137</v>
      </c>
      <c r="I27" s="27" t="s">
        <v>28</v>
      </c>
      <c r="J27" s="48"/>
      <c r="K27" s="48" t="s">
        <v>20</v>
      </c>
      <c r="L27" s="180" t="s">
        <v>173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169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173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169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173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169</v>
      </c>
      <c r="H30" s="41"/>
      <c r="I30" s="177" t="s">
        <v>120</v>
      </c>
      <c r="J30" s="42"/>
      <c r="K30" s="43"/>
      <c r="L30" s="185" t="s">
        <v>174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174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169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169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D17" zoomScale="111" zoomScaleNormal="111" workbookViewId="0">
      <selection activeCell="F72" sqref="F72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3" t="s">
        <v>175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</row>
    <row r="2" spans="1:20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161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169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176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176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169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176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169</v>
      </c>
      <c r="H7" s="63"/>
      <c r="I7" s="51" t="s">
        <v>169</v>
      </c>
      <c r="J7" s="142"/>
      <c r="K7" s="28"/>
      <c r="L7" s="172" t="s">
        <v>176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137</v>
      </c>
      <c r="I8" s="51" t="s">
        <v>29</v>
      </c>
      <c r="J8" s="33"/>
      <c r="K8" s="28"/>
      <c r="L8" s="172" t="s">
        <v>176</v>
      </c>
      <c r="M8" s="44" t="s">
        <v>177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169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178</v>
      </c>
      <c r="M9" s="44" t="s">
        <v>177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178</v>
      </c>
      <c r="M10" s="44" t="s">
        <v>177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179</v>
      </c>
      <c r="I11" s="51" t="s">
        <v>169</v>
      </c>
      <c r="J11" s="33"/>
      <c r="K11" s="33" t="s">
        <v>20</v>
      </c>
      <c r="L11" s="250" t="s">
        <v>180</v>
      </c>
      <c r="M11" s="44" t="s">
        <v>177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169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180</v>
      </c>
      <c r="M12" s="44" t="s">
        <v>177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180</v>
      </c>
      <c r="M13" s="44" t="s">
        <v>177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169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180</v>
      </c>
      <c r="M14" s="44" t="s">
        <v>177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180</v>
      </c>
      <c r="M15" s="44" t="s">
        <v>177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169</v>
      </c>
      <c r="J16" s="138"/>
      <c r="K16" s="43"/>
      <c r="L16" s="252" t="s">
        <v>181</v>
      </c>
      <c r="M16" s="44" t="s">
        <v>177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181</v>
      </c>
      <c r="M17" s="44" t="s">
        <v>177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182</v>
      </c>
      <c r="M18" s="44" t="s">
        <v>177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182</v>
      </c>
      <c r="M19" s="44" t="s">
        <v>177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182</v>
      </c>
      <c r="M20" s="44" t="s">
        <v>177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182</v>
      </c>
      <c r="M21" s="44" t="s">
        <v>177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182</v>
      </c>
      <c r="M22" s="44" t="s">
        <v>177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169</v>
      </c>
      <c r="J23" s="138"/>
      <c r="K23" s="43"/>
      <c r="L23" s="55" t="s">
        <v>23</v>
      </c>
      <c r="M23" s="44" t="s">
        <v>177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120</v>
      </c>
      <c r="J24" s="138"/>
      <c r="K24" s="43"/>
      <c r="L24" s="55" t="s">
        <v>23</v>
      </c>
      <c r="M24" s="44" t="s">
        <v>177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169</v>
      </c>
      <c r="I25" s="331" t="s">
        <v>22</v>
      </c>
      <c r="J25" s="48"/>
      <c r="K25" s="32" t="s">
        <v>48</v>
      </c>
      <c r="L25" s="180" t="s">
        <v>183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183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137</v>
      </c>
      <c r="J27" s="33"/>
      <c r="K27" s="33" t="s">
        <v>20</v>
      </c>
      <c r="L27" s="180" t="s">
        <v>183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169</v>
      </c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183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31</v>
      </c>
      <c r="D29" s="33" t="s">
        <v>31</v>
      </c>
      <c r="E29" s="51" t="s">
        <v>102</v>
      </c>
      <c r="F29" s="51" t="s">
        <v>32</v>
      </c>
      <c r="G29" s="51" t="s">
        <v>169</v>
      </c>
      <c r="H29" s="153"/>
      <c r="I29" s="233" t="s">
        <v>137</v>
      </c>
      <c r="J29" s="33" t="s">
        <v>20</v>
      </c>
      <c r="K29" s="337" t="s">
        <v>44</v>
      </c>
      <c r="L29" s="180" t="s">
        <v>183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120</v>
      </c>
      <c r="J30" s="138"/>
      <c r="K30" s="43"/>
      <c r="L30" s="185" t="s">
        <v>184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184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185</v>
      </c>
      <c r="I32" s="32" t="s">
        <v>28</v>
      </c>
      <c r="J32" s="33"/>
      <c r="K32" s="33" t="s">
        <v>20</v>
      </c>
      <c r="L32" s="180" t="s">
        <v>186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186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169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169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169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169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6"/>
      <c r="O40" s="34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9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206</v>
      </c>
      <c r="M43" s="238">
        <f t="shared" si="2"/>
        <v>11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6</v>
      </c>
      <c r="F45" s="341">
        <f>COUNTIF($D$4:$D$38,"FONTAINE")+COUNTIF($G$4:$G$38,"FONTAINE")</f>
        <v>5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142</v>
      </c>
      <c r="M45" s="238">
        <f t="shared" si="2"/>
        <v>35.92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9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3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17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260</v>
      </c>
      <c r="M59" s="238">
        <f t="shared" si="2"/>
        <v>65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169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2" t="s">
        <v>57</v>
      </c>
      <c r="D63" s="342"/>
      <c r="E63" s="34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816</v>
      </c>
      <c r="E66" s="238">
        <f>D66-C66</f>
        <v>168.60000000000002</v>
      </c>
      <c r="F66" s="163">
        <f>E66/24</f>
        <v>7.0250000000000012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510</v>
      </c>
      <c r="E68" s="238">
        <f>D68-C68</f>
        <v>85.68</v>
      </c>
      <c r="F68" s="163">
        <f>E68/24</f>
        <v>3.5700000000000003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187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386</v>
      </c>
      <c r="E69" s="238">
        <f>D69-C69-(19.4)</f>
        <v>38.999999999999979</v>
      </c>
      <c r="F69" s="163">
        <f>(E69/24)</f>
        <v>1.6249999999999991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188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10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169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770</v>
      </c>
      <c r="E82" s="238">
        <f t="shared" si="5"/>
        <v>99.200000000000045</v>
      </c>
      <c r="F82" s="163">
        <f t="shared" si="4"/>
        <v>4.1333333333333355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189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169</v>
      </c>
      <c r="C84" s="102">
        <f>MAI!L56+JUILLET!K56+AOUT!K61</f>
        <v>261.89999999999998</v>
      </c>
      <c r="D84" s="102">
        <f>MAI!M56+JUILLET!L56+AOUT!L61</f>
        <v>328</v>
      </c>
      <c r="E84" s="2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169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C24:D38 K26:K27 F38:G38 J29:K29 J25:J27 G30:K30 G31:H31 J31:K31 F32:G33 I32:K32 I33:J33 E34:G34 I34:K38 F35:G35 E36:G37 G28:I28 E25:I26 E27:F31 G27:H27 G29:H29 F11:K11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190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191</v>
      </c>
      <c r="I3" s="12" t="s">
        <v>192</v>
      </c>
      <c r="J3" s="12" t="s">
        <v>161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169</v>
      </c>
      <c r="J4" s="33" t="s">
        <v>31</v>
      </c>
      <c r="K4" s="33"/>
      <c r="L4" s="27" t="s">
        <v>193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193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193</v>
      </c>
      <c r="M6" s="34"/>
      <c r="N6" s="35" t="s">
        <v>194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193</v>
      </c>
      <c r="M7" s="34"/>
      <c r="N7" s="35" t="s">
        <v>194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193</v>
      </c>
      <c r="M8" s="34"/>
      <c r="N8" s="35" t="s">
        <v>194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193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169</v>
      </c>
      <c r="G10" s="104" t="s">
        <v>169</v>
      </c>
      <c r="H10" s="104" t="s">
        <v>48</v>
      </c>
      <c r="I10" s="119" t="s">
        <v>23</v>
      </c>
      <c r="J10" s="42"/>
      <c r="K10" s="43"/>
      <c r="L10" s="276" t="s">
        <v>193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195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169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195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169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195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169</v>
      </c>
      <c r="I15" s="33"/>
      <c r="J15" s="33" t="s">
        <v>38</v>
      </c>
      <c r="K15" s="28"/>
      <c r="L15" s="29" t="s">
        <v>195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169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196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196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169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196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196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169</v>
      </c>
      <c r="I22" s="32"/>
      <c r="J22" s="339"/>
      <c r="K22" s="36"/>
      <c r="L22" s="250"/>
      <c r="M22" s="30" t="s">
        <v>45</v>
      </c>
      <c r="N22" s="30" t="s">
        <v>196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169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169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140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169</v>
      </c>
      <c r="I26" s="32"/>
      <c r="J26" s="339"/>
      <c r="K26" s="36"/>
      <c r="L26" s="278" t="s">
        <v>140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104" t="s">
        <v>48</v>
      </c>
      <c r="H27" s="104" t="s">
        <v>169</v>
      </c>
      <c r="I27" s="27"/>
      <c r="J27" s="104" t="s">
        <v>48</v>
      </c>
      <c r="K27" s="64"/>
      <c r="L27" s="278" t="s">
        <v>140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140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140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5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182</v>
      </c>
      <c r="M51" s="238">
        <f t="shared" si="2"/>
        <v>26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169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169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197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169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203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169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169</v>
      </c>
      <c r="G12" s="51" t="s">
        <v>169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169</v>
      </c>
      <c r="J18" s="51" t="s">
        <v>22</v>
      </c>
      <c r="K18" s="32"/>
      <c r="L18" s="30" t="s">
        <v>157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6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128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157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169</v>
      </c>
      <c r="H22" s="51" t="s">
        <v>169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157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169</v>
      </c>
      <c r="I24" s="45" t="s">
        <v>44</v>
      </c>
      <c r="J24" s="42"/>
      <c r="K24" s="43"/>
      <c r="L24" s="44" t="s">
        <v>157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7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206</v>
      </c>
      <c r="M26" s="30"/>
      <c r="N26" s="277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7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169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7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169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7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169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169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E18:E21 F14:K14 F19:J20 F21:F24 I21 K21 J31:L31 C23:C24 G22:J22 E23:E24 G23 I23:K23 D24 H24:K24 E25:K25 H18:J18 C27:I31 J28:K30 F6:I6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208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161</v>
      </c>
      <c r="K3" s="13" t="s">
        <v>209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210</v>
      </c>
      <c r="J4" s="27" t="s">
        <v>38</v>
      </c>
      <c r="K4" s="28"/>
      <c r="L4" s="172" t="s">
        <v>211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211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210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210</v>
      </c>
      <c r="J11" s="24" t="s">
        <v>29</v>
      </c>
      <c r="K11" s="28"/>
      <c r="L11" s="172" t="s">
        <v>211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211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210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210</v>
      </c>
      <c r="J18" s="24" t="s">
        <v>48</v>
      </c>
      <c r="K18" s="32"/>
      <c r="L18" s="30" t="s">
        <v>157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157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157</v>
      </c>
      <c r="M20" s="30"/>
      <c r="N20" s="28"/>
      <c r="O20" s="316"/>
      <c r="P20" s="320"/>
      <c r="Q20" s="314"/>
      <c r="R20" s="3"/>
      <c r="S20" s="3"/>
      <c r="T20" s="3"/>
      <c r="U20" s="1" t="s">
        <v>128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157</v>
      </c>
      <c r="M21" s="30"/>
      <c r="N21" s="28" t="s">
        <v>212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213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213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169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169</v>
      </c>
      <c r="I33" s="32"/>
      <c r="J33" s="32" t="s">
        <v>20</v>
      </c>
      <c r="K33" s="32"/>
      <c r="L33" s="30" t="s">
        <v>52</v>
      </c>
      <c r="M33" s="30"/>
      <c r="N33" s="28" t="s">
        <v>214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214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6" t="s">
        <v>53</v>
      </c>
      <c r="B40" s="346"/>
      <c r="C40" s="346"/>
      <c r="D40" s="34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2" t="s">
        <v>57</v>
      </c>
      <c r="M42" s="34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169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169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215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169</v>
      </c>
      <c r="I4" s="119" t="s">
        <v>44</v>
      </c>
      <c r="J4" s="301" t="s">
        <v>29</v>
      </c>
      <c r="K4" s="48" t="s">
        <v>20</v>
      </c>
      <c r="L4" s="27" t="s">
        <v>157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157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157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157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157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169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169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126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126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169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169</v>
      </c>
      <c r="J25" s="329"/>
      <c r="K25" s="28"/>
      <c r="L25" s="307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169</v>
      </c>
      <c r="G27" s="301" t="s">
        <v>169</v>
      </c>
      <c r="H27" s="301" t="s">
        <v>22</v>
      </c>
      <c r="I27" s="27"/>
      <c r="J27" s="301" t="s">
        <v>29</v>
      </c>
      <c r="K27" s="64"/>
      <c r="L27" s="307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220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169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169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169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169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7" t="s">
        <v>38</v>
      </c>
      <c r="B58" s="347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7" t="s">
        <v>36</v>
      </c>
      <c r="B59" s="347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7" t="s">
        <v>21</v>
      </c>
      <c r="B60" s="347"/>
      <c r="C60" s="272">
        <f>SEPTEMBRE!K39+OCTOBRE!K39+NOVEMBRE!K46+DECEMBRE!K39</f>
        <v>312</v>
      </c>
      <c r="D60" s="102">
        <f>SEPTEMBRE!L39+OCTOBRE!L39+NOVEMBRE!L46+DECEMBRE!L39</f>
        <v>392</v>
      </c>
      <c r="E60" s="238">
        <f>D60-C60</f>
        <v>80</v>
      </c>
      <c r="F60" s="163">
        <f t="shared" si="4"/>
        <v>3.3333333333333335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7" t="s">
        <v>31</v>
      </c>
      <c r="B61" s="347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169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536</v>
      </c>
      <c r="E72" s="238">
        <f t="shared" si="5"/>
        <v>5.6000000000000227</v>
      </c>
      <c r="F72" s="163">
        <f t="shared" si="4"/>
        <v>0.23333333333333428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9" t="s">
        <v>169</v>
      </c>
      <c r="B77" s="349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169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/>
  <cp:revision>0</cp:revision>
  <dcterms:created xsi:type="dcterms:W3CDTF">2016-04-19T20:05:50Z</dcterms:created>
  <dcterms:modified xsi:type="dcterms:W3CDTF">2026-08-20T09:07:23Z</dcterms:modified>
  <cp:category/>
  <cp:contentStatus/>
</cp:coreProperties>
</file>