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38" documentId="11_82001204A17853BD4102BB3957D4EBE5562A03D3" xr6:coauthVersionLast="47" xr6:coauthVersionMax="47" xr10:uidLastSave="{71406D5E-20B6-764C-9E2E-78D050943D7A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<sst xmlns="http://schemas.openxmlformats.org/spreadsheetml/2006/main" count="4209" uniqueCount="223">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</sst>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1"/>
      <c r="J44" s="361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1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1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2">
        <f>COUNTIF($C$4:$C$38,"AZZEDINE")+COUNTIF($H$4:$H$38,"AZZEDINE")+COUNTIF($I$4:$I$38,"AZZEDINE")+COUNTIF($F$4:$F$38,"AZZEDINE")+D72</f>
        <v>3</v>
      </c>
      <c r="F63" s="362">
        <f>COUNTIF($D$4:$D$38,"AZZEDINE")+COUNTIF($H$4:$H$38,"AZZEDINE")+COUNTIF($G$4:$G$38,"AZZEDINE")</f>
        <v>0</v>
      </c>
      <c r="G63" s="362">
        <f>COUNTIF($E$4:$E$38,"AZZEDINE")</f>
        <v>0</v>
      </c>
      <c r="H63" s="362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361" t="s">
        <v>67</v>
      </c>
      <c r="M36" s="361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2">
        <f>COUNTIF($C$4:$C$31,"BOULAT")+COUNTIF($F$4:$F$31,"BOULAT")+COUNTIF($I$4:$I$31,"BOULAT")+COUNTIF($K$4:$K$31,"BOULAT")</f>
        <v>4</v>
      </c>
      <c r="F37" s="362">
        <f>COUNTIF($D$4:$D$31,"BOULAT")+COUNTIF($G$4:$G$31,"BOULAT")</f>
        <v>3</v>
      </c>
      <c r="G37" s="362">
        <f>COUNTIF($E$4:$E$31,"BOULAT")</f>
        <v>0</v>
      </c>
      <c r="H37" s="161"/>
      <c r="I37" s="362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2">
        <f>COUNTIF($C$4:$C$31,"BRUGIROUX")+COUNTIF($I$4:$I$31,"BRUGIROUX")+COUNTIF($F$4:$F$31,"BRUGIROUX")+COUNTIF($K$4:$K$31,"BRUGIROUX")</f>
        <v>5</v>
      </c>
      <c r="F38" s="362">
        <f>COUNTIF($D$4:$D$31,"BRUGIROUX")+COUNTIF($G$4:$G$31,"BRUGIROUX")</f>
        <v>8</v>
      </c>
      <c r="G38" s="362">
        <f>COUNTIF($E$4:$E$31,"BRUGIROUX")</f>
        <v>1</v>
      </c>
      <c r="H38" s="161">
        <f>COUNTIF($J$4:$J$31,"BRUGIROUX")</f>
        <v>0</v>
      </c>
      <c r="I38" s="362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2">
        <f>COUNTIF($C$4:$C$31,"CAUVY")+COUNTIF($F$4:$F$31,"CAUVY")+COUNTIF($I$4:$I$31,"CAUVY")+COUNTIF($K$4:$K$31,"CAUVY")</f>
        <v>4</v>
      </c>
      <c r="F39" s="362">
        <f>COUNTIF($D$4:$D$31,"CAUVY")+COUNTIF($G$4:$G$31,"CAUVY")</f>
        <v>0</v>
      </c>
      <c r="G39" s="362">
        <f>COUNTIF($E$4:$E$31,"CAUVY")</f>
        <v>1</v>
      </c>
      <c r="H39" s="362"/>
      <c r="I39" s="362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2">
        <f>COUNTIF($C$4:$C$31,"FONTAINE")+COUNTIF($I$4:$I$31,"FONTAINE")+COUNTIF($F$4:$F$31,"FONTAINE")+COUNTIF($K$4:$K$31,"FONTAINE")</f>
        <v>3</v>
      </c>
      <c r="F40" s="362">
        <f>COUNTIF($D$4:$D$31,"FONTAINE")+COUNTIF($G$4:$G$31,"FONTAINE")</f>
        <v>2</v>
      </c>
      <c r="G40" s="362">
        <f>COUNTIF($E$4:$E$31,"FONTAINE")</f>
        <v>0</v>
      </c>
      <c r="H40" s="161"/>
      <c r="I40" s="362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2">
        <f>COUNTIF($C$4:$C$31,"KANTCHE")+COUNTIF($I$4:$I$31,"KANTCHE")+COUNTIF($F$4:$F$31,"KANTCHE")+COUNTIF($K$4:$K$31,"KANTCHE")</f>
        <v>4</v>
      </c>
      <c r="F41" s="362">
        <f>COUNTIF($D$4:$D$31,"KANTCHE")+COUNTIF($G$4:$G$31,"KANTCHE")</f>
        <v>3</v>
      </c>
      <c r="G41" s="362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2">
        <f>COUNTIF($C$4:$C$31,"ORIOLI")+COUNTIF($I$4:$I$31,"ORIOLI")+COUNTIF($F$4:$F$31,"ORIOLI")+COUNTIF($K$4:$K$31,"ORIOLI")</f>
        <v>5</v>
      </c>
      <c r="F42" s="362">
        <f>COUNTIF($D$4:$D$31,"ORIOLI")+COUNTIF($G$4:$G$31,"ORIOLI")</f>
        <v>5</v>
      </c>
      <c r="G42" s="362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2">
        <f>COUNTIF($C$4:$C$31,"TKATCHOUK")+COUNTIF($I$4:$I$31,"TKATCHOUK")+COUNTIF($F$4:$F$31,"TKATCHOUK")+COUNTIF($K$4:$K$31,"TKATCHOUK")</f>
        <v>0</v>
      </c>
      <c r="F43" s="362">
        <f>COUNTIF($D$4:$D$31,"TKATCHOUK")+COUNTIF($G$4:$G$31,"TKATCHOUK")</f>
        <v>0</v>
      </c>
      <c r="G43" s="362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2">
        <f>COUNTIF($C$4:$C$31,"TORREGROSSA")+COUNTIF($I$4:$I$31,"TORREGROSSA")+COUNTIF($F$4:$F$31,"TORREGROSSA")+COUNTIF($K$4:$K$31,"TORREGROSSA")</f>
        <v>4</v>
      </c>
      <c r="F44" s="362">
        <f>COUNTIF($D$4:$D$31,"TORREGROSSA")+COUNTIF($G$4:$G$31,"TORREGROSSA")</f>
        <v>4</v>
      </c>
      <c r="G44" s="362">
        <f>COUNTIF($E$4:$E$31,"TORREGROSSA")</f>
        <v>0</v>
      </c>
      <c r="H44" s="362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2">
        <f>COUNTIF($C$4:$C$31,"BALLOT")+COUNTIF($F$4:$F$31,"BALLOT")+COUNTIF($I$4:$I$31,"BALLOT")+COUNTIF($K$4:$K$31,"BALLOT")</f>
        <v>2</v>
      </c>
      <c r="F45" s="362">
        <f>COUNTIF($D$4:$D$31,"BALLOT")+COUNTIF($G$4:$G$31,"BALLOT")</f>
        <v>0</v>
      </c>
      <c r="G45" s="362">
        <f>COUNTIF($E$4:$E$31,"BALLOT")</f>
        <v>3</v>
      </c>
      <c r="H45" s="362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2">
        <f>COUNTIF($C$4:$C$31,"MOREL")+COUNTIF($I$4:$I$31,"MOREL")+COUNTIF($F$4:$F$31,"MOREL")+COUNTIF($K$4:$K$31,"MOREL")</f>
        <v>5</v>
      </c>
      <c r="F46" s="362">
        <f>COUNTIF($D$4:$D$31,"MOREL")+COUNTIF($G$4:$G$31,"MOREL")</f>
        <v>0</v>
      </c>
      <c r="G46" s="362">
        <f>COUNTIF($E$4:$E$31,"MOREL")</f>
        <v>0</v>
      </c>
      <c r="H46" s="362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2">
        <f>COUNTIF($C$4:$C$31,"RACHIDI")+COUNTIF($I$4:$I$31,"RACHIDI")+COUNTIF($F$4:$F$31,"RACHIDI")+COUNTIF($K$4:$K$31,"RACHIDI")</f>
        <v>1</v>
      </c>
      <c r="F47" s="362">
        <f>COUNTIF($D$4:$D$31,"RACHIDI")+COUNTIF($G$4:$G$31,"RACHIDI")</f>
        <v>1</v>
      </c>
      <c r="G47" s="362">
        <f>COUNTIF($E$4:$E$31,"RACHIDI")</f>
        <v>0</v>
      </c>
      <c r="H47" s="362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2">
        <f>COUNTIF($C$4:$C$31,"ZEBICHE")+COUNTIF($F$4:$F$31,"ZEBICHE")+COUNTIF($I$4:$I$31,"ZEBICHE")+COUNTIF($K$4:$K$31,"ZEBICHE")</f>
        <v>9</v>
      </c>
      <c r="F48" s="362">
        <f>COUNTIF($D$4:$D$31,"ZEBICHE")+COUNTIF($G$4:$G$31,"ZEBICHE")</f>
        <v>9</v>
      </c>
      <c r="G48" s="362">
        <f>COUNTIF($E$4:$E$31,"ZEBICHE")</f>
        <v>0</v>
      </c>
      <c r="H48" s="362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2">
        <f>COUNTIF($C$4:$C$31,"HACHIMI")+COUNTIF($F$4:$F$31,"HACHIMI")+COUNTIF($H$4:$H$31,"HACHIMI")+COUNTIF($I$4:$I$31,"HACHIMI")+D58+COUNTIF($K$4:$K$31,"HACHIMI")</f>
        <v>8</v>
      </c>
      <c r="F49" s="362">
        <f>COUNTIF($D$4:$D$31,"HACHIMI")+COUNTIF($H$4:$H$31,"HACHIMI")+COUNTIF($G$4:$G$31,"HACHIMI")</f>
        <v>7</v>
      </c>
      <c r="G49" s="362">
        <f>COUNTIF($E$4:$E$31,"HACHIMI")</f>
        <v>2</v>
      </c>
      <c r="H49" s="362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2">
        <f>COUNTIF($C$4:$C$31,"BIENDOUX")+COUNTIF($H$4:$H$31,"BIENDOUX")+COUNTIF($I$4:$I$31,"BIENDOUX")+COUNTIF($F$4:$F$31,"BIENDOUX")+D59+COUNTIF($K$4:$K$31,"BIENDOUX")</f>
        <v>14</v>
      </c>
      <c r="F50" s="362">
        <v>4</v>
      </c>
      <c r="G50" s="362">
        <f>COUNTIF($E$4:$E$31,"BIENDOUX")</f>
        <v>0</v>
      </c>
      <c r="H50" s="362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2">
        <f>COUNTIF($C$4:$C$31,"AFZAL")+COUNTIF($H$4:$H$31,"AFZAL")+COUNTIF($I$4:$I$31,"AFZAL")+COUNTIF($F$4:$F$31,"AFZAL")+D60+COUNTIF($K$4:$K$31,"AFZAL")</f>
        <v>8</v>
      </c>
      <c r="F51" s="362">
        <v>9</v>
      </c>
      <c r="G51" s="362">
        <f>COUNTIF($E$4:$E$31,"AFZAL")</f>
        <v>1</v>
      </c>
      <c r="H51" s="362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2">
        <f>COUNTIF($C$4:$C$31,"IBRAHIM")+COUNTIF($H$4:$H$31,"IBRAHIM")+COUNTIF($I$4:$I$31,"IBRAHIM")+COUNTIF($K$4:$K$31,"IBRAHIM")+COUNTIF($F$4:$F$31,"IBRAHIM")+D61</f>
        <v>8</v>
      </c>
      <c r="F52" s="362">
        <v>6</v>
      </c>
      <c r="G52" s="362">
        <f>COUNTIF($E$4:$E$31,"IBRAHIM")</f>
        <v>3</v>
      </c>
      <c r="H52" s="362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2">
        <f>COUNTIF($C$4:$C$31,"IMAD")+COUNTIF($H$4:$H$31,"IMAD")+COUNTIF($I$4:$I$31,"IMAD")+COUNTIF($F$4:$F$31,"IMAD")+D62+COUNTIF($K$4:$K$31,"IMAD")</f>
        <v>6</v>
      </c>
      <c r="F53" s="362">
        <f>COUNTIF($D$4:$D$31,"IMAD")+COUNTIF($H$4:$H$31,"IMAD")+COUNTIF($G$4:$G$31,"IMAD")</f>
        <v>5</v>
      </c>
      <c r="G53" s="362">
        <f>COUNTIF($E$4:$E$31,"IMAD")</f>
        <v>1</v>
      </c>
      <c r="H53" s="362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2">
        <f>COUNTIF($C$4:$C$31,"RADO")+COUNTIF($H$4:$H$31,"RADO")+COUNTIF($I$4:$I$31,"RADO")+COUNTIF($F$4:$F$31,"RADO")+D63+COUNTIF($K$4:$K$31,"RADO")</f>
        <v>14</v>
      </c>
      <c r="F54" s="362">
        <f>COUNTIF($D$4:$D$31,"RADO")+COUNTIF($H$4:$H$31,"RADO")+COUNTIF($G$4:$G$31,"RADO")</f>
        <v>2</v>
      </c>
      <c r="G54" s="362">
        <f>COUNTIF($E$4:$E$31,"RADO")</f>
        <v>2</v>
      </c>
      <c r="H54" s="362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2">
        <f>COUNTIF($C$4:$C$31,"TODY")+COUNTIF($H$4:$H$31,"TODY")+COUNTIF($I$4:$I$31,"TODY")+COUNTIF($F$4:$F$31,"TODY")+D64+COUNTIF($K$4:$K$31,"TODY")</f>
        <v>11</v>
      </c>
      <c r="F55" s="362">
        <f>COUNTIF($D$4:$D$31,"TODY")+COUNTIF($H$4:$H$31,"TODY")+COUNTIF($G$4:$G$31,"TODY")</f>
        <v>2</v>
      </c>
      <c r="G55" s="362">
        <f>COUNTIF($E$4:$E$31,"TODY")</f>
        <v>2</v>
      </c>
      <c r="H55" s="362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2">
        <f>COUNTIF($C$4:$C$31,"RODRIGUE")+COUNTIF($H$4:$H$31,"RODRIGUE")+COUNTIF($I$4:$I$31,"RODRIGUE")+COUNTIF($F$4:$F$31,"RODRIGUE")+D65+COUNTIF($K$4:$K$31,"RODRIGUE")</f>
        <v>6</v>
      </c>
      <c r="F56" s="362">
        <f>COUNTIF($D$4:$D$31,"RODRIGUE")+COUNTIF($H$4:$H$31,"RODRIGUE")+COUNTIF($G$4:$G$31,"RODRIGUE")</f>
        <v>3</v>
      </c>
      <c r="G56" s="362">
        <f>COUNTIF($E$4:$E$31,"RODRIGUE")</f>
        <v>2</v>
      </c>
      <c r="H56" s="362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1" t="s">
        <v>64</v>
      </c>
      <c r="J41" s="361" t="s">
        <v>65</v>
      </c>
      <c r="K41" s="77" t="s">
        <v>66</v>
      </c>
      <c r="L41" s="361" t="s">
        <v>67</v>
      </c>
      <c r="M41" s="361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2">
        <f>COUNTIF($C$4:$C$38,"BOULAT")+COUNTIF($F$4:$F$38,"BOULAT")+COUNTIF($I$4:$I$38,"BOULAT")+COUNTIF($K$4:$K$38,"BOULAT")</f>
        <v>8</v>
      </c>
      <c r="F42" s="362">
        <f>COUNTIF($D$4:$D$38,"BOULAT")+COUNTIF($G$4:$G$38,"BOULAT")</f>
        <v>6</v>
      </c>
      <c r="G42" s="362">
        <f>COUNTIF($E$4:$E$38,"BOULAT")</f>
        <v>0</v>
      </c>
      <c r="H42" s="161"/>
      <c r="I42" s="362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2">
        <f>COUNTIF($C$4:$C$38,"BRUGIROUX")+COUNTIF($F$4:$F$38,"BRUGIROUX")+COUNTIF($I$4:$I$38,"BRUGIROUX")+COUNTIF($K$4:$K$38,"BRUGIROUX")</f>
        <v>7</v>
      </c>
      <c r="F43" s="362">
        <f>COUNTIF($D$4:$D$38,"BRUGIROUX")+COUNTIF($G$4:$G$38,"BRUGIROUX")</f>
        <v>10</v>
      </c>
      <c r="G43" s="362">
        <f>COUNTIF($E$4:$E$38,"BRUGIROUX")</f>
        <v>0</v>
      </c>
      <c r="H43" s="161">
        <v>1</v>
      </c>
      <c r="I43" s="362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2">
        <f>COUNTIF($C$4:$C$38,"CAUVY")+COUNTIF($F$4:$F$38,"CAUVY")+COUNTIF($I$4:$I$38,"CAUVY")+COUNTIF($K$4:$K$38,"CAUVY")</f>
        <v>2</v>
      </c>
      <c r="F44" s="362">
        <f>COUNTIF($D$4:$D$38,"CAUVY")+COUNTIF($G$4:$G$38,"CAUVY")</f>
        <v>0</v>
      </c>
      <c r="G44" s="362">
        <f>COUNTIF($E$4:$E$38,"CAUVY")</f>
        <v>1</v>
      </c>
      <c r="H44" s="362"/>
      <c r="I44" s="362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2">
        <f>COUNTIF($C$4:$C$38,"FONTAINE")+COUNTIF($F$4:$F$38,"FONTAINE")+COUNTIF($I$4:$I$38,"FONTAINE")+COUNTIF($K$4:$K$38,"FONTAINE")</f>
        <v>5</v>
      </c>
      <c r="F45" s="362">
        <f>COUNTIF($D$4:$D$38,"FONTAINE")+COUNTIF($G$4:$G$38,"FONTAINE")</f>
        <v>4</v>
      </c>
      <c r="G45" s="362">
        <f>COUNTIF($E$4:$E$38,"FONTAINE")</f>
        <v>1</v>
      </c>
      <c r="H45" s="161"/>
      <c r="I45" s="362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2">
        <f>COUNTIF($C$4:$C$38,"KANTCHE")+COUNTIF($F$4:$F$38,"KANTCHE")+COUNTIF($I$4:$I$38,"KANTCHE")+COUNTIF($K$4:$K$38,"KANTCHE")</f>
        <v>5</v>
      </c>
      <c r="F46" s="362">
        <f>COUNTIF($D$4:$D$38,"KANTCHE")+COUNTIF($G$4:$G$38,"KANTCHE")</f>
        <v>1</v>
      </c>
      <c r="G46" s="362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2">
        <f>COUNTIF($C$4:$C$38,"ORIOLI")+COUNTIF($F$4:$F$38,"ORIOLI")+COUNTIF($I$4:$I$38,"ORIOLI")+COUNTIF($K$4:$K$38,"ORIOLI")</f>
        <v>7</v>
      </c>
      <c r="F47" s="362">
        <f>COUNTIF($D$4:$D$38,"ORIOLI")+COUNTIF($G$4:$G$38,"ORIOLI")</f>
        <v>7</v>
      </c>
      <c r="G47" s="362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2">
        <f>COUNTIF($C$4:$C$38,"TKATCHOUK")+COUNTIF($F$4:$F$38,"TKATCHOUK")+COUNTIF($I$4:$I$38,"TKATCHOUK")+COUNTIF($K$4:$K$38,"TKATCHOUK")</f>
        <v>0</v>
      </c>
      <c r="F48" s="362">
        <f>COUNTIF($D$4:$D$38,"TKATCHOUK")+COUNTIF($G$4:$G$38,"TKATCHOUK")</f>
        <v>0</v>
      </c>
      <c r="G48" s="362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2">
        <f>COUNTIF($C$4:$C$38,"TORREGROSSA")+COUNTIF($F$4:$F$38,"TORREGROSSA")+COUNTIF($K$4:$K$38,"TORREGROSSA")+COUNTIF($I$4:$I$38,"TORREGROSSA")</f>
        <v>10</v>
      </c>
      <c r="F49" s="362">
        <f>COUNTIF($D$4:$D$38,"TORREGROSSA")+COUNTIF($G$4:$G$38,"TORREGROSSA")</f>
        <v>3</v>
      </c>
      <c r="G49" s="362">
        <f>COUNTIF($E$4:$E$38,"TORREGROSSA")</f>
        <v>0</v>
      </c>
      <c r="H49" s="362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2">
        <f>COUNTIF($C$4:$C$38,"BALLOT")+COUNTIF($F$4:$F$38,"BALLOT")+COUNTIF($I$4:$I$38,"BALLOT")+COUNTIF($K$4:$K$38,"BALLOT")</f>
        <v>1</v>
      </c>
      <c r="F50" s="362">
        <f>COUNTIF($D$4:$D$38,"BALLOT")+COUNTIF($G$4:$G$38,"BALLOT")</f>
        <v>0</v>
      </c>
      <c r="G50" s="362">
        <f>COUNTIF($E$4:$E$38,"BALLOT")</f>
        <v>2</v>
      </c>
      <c r="H50" s="362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2">
        <f>COUNTIF($C$4:$C$38,"MOREL")+COUNTIF($F$4:$F$38,"MOREL")+COUNTIF($I$4:$I$38,"MOREL")+COUNTIF($K$4:$K$38,"MOREL")</f>
        <v>8</v>
      </c>
      <c r="F51" s="362">
        <f>COUNTIF($D$4:$D$38,"MOREL")+COUNTIF($G$4:$G$38,"MOREL")</f>
        <v>0</v>
      </c>
      <c r="G51" s="362">
        <f>COUNTIF($E$4:$E$38,"MOREL")</f>
        <v>0</v>
      </c>
      <c r="H51" s="362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2">
        <f>COUNTIF($C$4:$C$38,"RACHIDI")+COUNTIF($F$4:$F$38,"RACHIDI")+COUNTIF($I$4:$I$38,"RACHIDI")+COUNTIF($K$4:$K$38,"RACHIDI")</f>
        <v>6</v>
      </c>
      <c r="F52" s="362">
        <f>COUNTIF($D$4:$D$38,"RACHIDI")+COUNTIF($G$4:$G$38,"RACHIDI")</f>
        <v>8</v>
      </c>
      <c r="G52" s="362">
        <f>COUNTIF($E$4:$E$38,"RACHIDI")</f>
        <v>0</v>
      </c>
      <c r="H52" s="362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2">
        <f>COUNTIF($C$4:$C$38,"ZEBICHE")+COUNTIF($F$4:$F$38,"ZEBICHE")+COUNTIF($I$4:$I$38,"ZEBICHE")+COUNTIF($K$4:$K$38,"ZEBICHE")</f>
        <v>9</v>
      </c>
      <c r="F53" s="362">
        <f>COUNTIF($D$4:$D$38,"ZEBICHE")+COUNTIF($G$4:$G$38,"ZEBICHE")</f>
        <v>9</v>
      </c>
      <c r="G53" s="362">
        <f>COUNTIF($E$4:$E$38,"ZEBICHE")</f>
        <v>0</v>
      </c>
      <c r="H53" s="362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2">
        <f>COUNTIF($C$4:$C$38,"HACHIMI")+COUNTIF($F$4:$F$38,"HACHIMI")+COUNTIF($H$4:$H$38,"HACHIMI")+COUNTIF($I$4:$I$38,"HACHIMI")+H65+COUNTIF($K$4:$K$38,"HACHIMI")</f>
        <v>5</v>
      </c>
      <c r="F54" s="362">
        <v>5</v>
      </c>
      <c r="G54" s="362">
        <f>COUNTIF($E$4:$E$38,"HACHIMI")</f>
        <v>0</v>
      </c>
      <c r="H54" s="362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2">
        <f>COUNTIF($C$4:$C$38,"BIENDOUX")+COUNTIF($F$4:$F$38,"BIENDOUX")+COUNTIF($H$4:$H$38,"BIENDOUX")+COUNTIF($I$4:$I$38,"BIENDOUX")+H66+COUNTIF($K$4:$K$38,"BIENDOUX")</f>
        <v>14</v>
      </c>
      <c r="F55" s="362">
        <v>5</v>
      </c>
      <c r="G55" s="362">
        <f>COUNTIF($E$4:$E$38,"BIENDOUX")</f>
        <v>1</v>
      </c>
      <c r="H55" s="362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2">
        <v>9</v>
      </c>
      <c r="G56" s="362">
        <f>COUNTIF($E$4:$E$38,"AFZAL")</f>
        <v>1</v>
      </c>
      <c r="H56" s="362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2">
        <v>8</v>
      </c>
      <c r="F57" s="362">
        <v>9</v>
      </c>
      <c r="G57" s="362">
        <f>COUNTIF($E$4:$E$38,"IBRAHIM")</f>
        <v>3</v>
      </c>
      <c r="H57" s="362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2">
        <f>COUNTIF($D$4:$D$38,"IMAD")+COUNTIF($H$4:$H$38,"IMAD")+COUNTIF($G$4:$G$38,"IMAD")</f>
        <v>3</v>
      </c>
      <c r="G58" s="362">
        <f>COUNTIF($E$4:$E$38,"IMAD")</f>
        <v>1</v>
      </c>
      <c r="H58" s="362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2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2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2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2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E1" zoomScale="111" zoomScaleNormal="111" workbookViewId="0">
      <selection activeCell="F27" sqref="F27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0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4" t="s">
        <v>102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8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4" t="s">
        <v>102</v>
      </c>
      <c r="G27" s="344" t="s">
        <v>102</v>
      </c>
      <c r="H27" s="104" t="s">
        <v>168</v>
      </c>
      <c r="I27" s="27"/>
      <c r="J27" s="359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90</v>
      </c>
      <c r="M44" s="238">
        <f t="shared" si="2"/>
        <v>-3.5999999999999943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7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164</v>
      </c>
      <c r="M52" s="238">
        <f t="shared" si="2"/>
        <v>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I14 C25:D28 K22:K26 H17:H22 J28:K28 I29:K29 J5:L7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G4" sqref="G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9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7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9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188</v>
      </c>
      <c r="M44" s="238">
        <f t="shared" si="2"/>
        <v>32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172</v>
      </c>
      <c r="M50" s="238">
        <f t="shared" si="2"/>
        <v>16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C13:I13 F8:J12 C6:D6 C22:D22 M6:M7 C7:C9 E7:I7 D8:D9 E18:E21 K9:K11 M9:M17 L5:L8 I15:L15 F15 L11:L14 C16:D18 H16:K16 E17:K17 F6:I6 F14:K14 F19:J20 F21:F24 I21 K21 J31:L31 C23:C24 G22:J22 E23:E24 G23 I23:K23 D24 H24:K24 E25:K25 H18:J18 J28:K30 C26:I31 F4:L4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210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0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50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0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0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50" t="s">
        <v>19</v>
      </c>
      <c r="F20" s="351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50" t="s">
        <v>19</v>
      </c>
      <c r="F22" s="351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9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9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0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64</v>
      </c>
      <c r="J43" s="361" t="s">
        <v>65</v>
      </c>
      <c r="K43" s="361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4"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217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2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2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3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2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2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9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9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9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5" t="s">
        <v>38</v>
      </c>
      <c r="D37" s="356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5" t="s">
        <v>36</v>
      </c>
      <c r="D38" s="356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5" t="s">
        <v>21</v>
      </c>
      <c r="D39" s="357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5" t="s">
        <v>31</v>
      </c>
      <c r="D40" s="357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8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8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8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8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8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8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8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8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8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8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8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8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8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8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8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8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1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69" t="s">
        <v>38</v>
      </c>
      <c r="B58" s="369"/>
      <c r="C58" s="272">
        <f>SEPTEMBRE!K37+OCTOBRE!K37+NOVEMBRE!K44+DECEMBRE!K37</f>
        <v>569.4</v>
      </c>
      <c r="D58" s="102">
        <f>SEPTEMBRE!L37+OCTOBRE!L37+NOVEMBRE!L44+DECEMBRE!L37</f>
        <v>588</v>
      </c>
      <c r="E58" s="35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69" t="s">
        <v>36</v>
      </c>
      <c r="B59" s="369"/>
      <c r="C59" s="272">
        <f>SEPTEMBRE!K38+OCTOBRE!K38+NOVEMBRE!K45+DECEMBRE!K38</f>
        <v>522.6</v>
      </c>
      <c r="D59" s="102">
        <f>SEPTEMBRE!L38+OCTOBRE!L38+NOVEMBRE!L45+DECEMBRE!L38</f>
        <v>654</v>
      </c>
      <c r="E59" s="354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69" t="s">
        <v>21</v>
      </c>
      <c r="B60" s="369"/>
      <c r="C60" s="272">
        <f>SEPTEMBRE!K39+OCTOBRE!K39+NOVEMBRE!K46+DECEMBRE!K39</f>
        <v>312</v>
      </c>
      <c r="D60" s="102">
        <f>SEPTEMBRE!L39+OCTOBRE!L39+NOVEMBRE!L46+DECEMBRE!L39</f>
        <v>358</v>
      </c>
      <c r="E60" s="354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69" t="s">
        <v>31</v>
      </c>
      <c r="B61" s="369"/>
      <c r="C61" s="272">
        <f>SEPTEMBRE!K40+OCTOBRE!K40+NOVEMBRE!K47+DECEMBRE!K40</f>
        <v>418.08</v>
      </c>
      <c r="D61" s="102">
        <f>SEPTEMBRE!L40+OCTOBRE!L40+NOVEMBRE!L47+DECEMBRE!L40</f>
        <v>628</v>
      </c>
      <c r="E61" s="354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0" t="s">
        <v>28</v>
      </c>
      <c r="B62" s="370"/>
      <c r="C62" s="272">
        <f>SEPTEMBRE!K41+OCTOBRE!K41+NOVEMBRE!K48+DECEMBRE!K41</f>
        <v>383.76</v>
      </c>
      <c r="D62" s="102">
        <f>SEPTEMBRE!L41+OCTOBRE!L41+NOVEMBRE!L48+DECEMBRE!L41</f>
        <v>420</v>
      </c>
      <c r="E62" s="354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0" t="s">
        <v>42</v>
      </c>
      <c r="B63" s="370"/>
      <c r="C63" s="272">
        <f>SEPTEMBRE!K42+OCTOBRE!K42+NOVEMBRE!K49+DECEMBRE!K42</f>
        <v>491.4</v>
      </c>
      <c r="D63" s="102">
        <f>SEPTEMBRE!L42+OCTOBRE!L42+NOVEMBRE!L49+DECEMBRE!L42</f>
        <v>526</v>
      </c>
      <c r="E63" s="354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0" t="s">
        <v>47</v>
      </c>
      <c r="B64" s="370"/>
      <c r="C64" s="272">
        <f>SEPTEMBRE!K43+OCTOBRE!K43+NOVEMBRE!K50+DECEMBRE!K43</f>
        <v>280.8</v>
      </c>
      <c r="D64" s="102">
        <f>SEPTEMBRE!L43+OCTOBRE!L43+NOVEMBRE!L50+DECEMBRE!L43</f>
        <v>288</v>
      </c>
      <c r="E64" s="354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0" t="s">
        <v>20</v>
      </c>
      <c r="B65" s="370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4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0" t="s">
        <v>19</v>
      </c>
      <c r="B66" s="370"/>
      <c r="C66" s="272">
        <f>SEPTEMBRE!K45+OCTOBRE!K45+NOVEMBRE!K52+DECEMBRE!K45</f>
        <v>216.84</v>
      </c>
      <c r="D66" s="102">
        <f>SEPTEMBRE!L45+OCTOBRE!L45+NOVEMBRE!L52+DECEMBRE!L45</f>
        <v>224</v>
      </c>
      <c r="E66" s="354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0" t="s">
        <v>37</v>
      </c>
      <c r="B67" s="370"/>
      <c r="C67" s="272">
        <f>SEPTEMBRE!K46+OCTOBRE!K46+NOVEMBRE!K53+DECEMBRE!K46</f>
        <v>232.44</v>
      </c>
      <c r="D67" s="102">
        <f>SEPTEMBRE!L46+OCTOBRE!L46+NOVEMBRE!L53+DECEMBRE!L46</f>
        <v>240</v>
      </c>
      <c r="E67" s="354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0" t="s">
        <v>27</v>
      </c>
      <c r="B68" s="370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4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0" t="s">
        <v>34</v>
      </c>
      <c r="B69" s="370"/>
      <c r="C69" s="272">
        <f>SEPTEMBRE!K48+OCTOBRE!K48+NOVEMBRE!K55+DECEMBRE!K48</f>
        <v>374.4</v>
      </c>
      <c r="D69" s="102">
        <f>SEPTEMBRE!L48+OCTOBRE!L48+NOVEMBRE!L55+DECEMBRE!L48</f>
        <v>456</v>
      </c>
      <c r="E69" s="354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0" t="s">
        <v>22</v>
      </c>
      <c r="B70" s="370"/>
      <c r="C70" s="272">
        <f>SEPTEMBRE!K49+OCTOBRE!K49+NOVEMBRE!K56+DECEMBRE!K49</f>
        <v>585</v>
      </c>
      <c r="D70" s="102">
        <f>SEPTEMBRE!L49+OCTOBRE!L49+NOVEMBRE!L56+DECEMBRE!L49</f>
        <v>618</v>
      </c>
      <c r="E70" s="354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0" t="s">
        <v>29</v>
      </c>
      <c r="B71" s="370"/>
      <c r="C71" s="272">
        <f>SEPTEMBRE!K50+OCTOBRE!K50+NOVEMBRE!K57+DECEMBRE!K50</f>
        <v>561.6</v>
      </c>
      <c r="D71" s="102">
        <f>SEPTEMBRE!L50+OCTOBRE!L50+NOVEMBRE!L57+DECEMBRE!L50</f>
        <v>582</v>
      </c>
      <c r="E71" s="354">
        <f t="shared" si="5"/>
        <v>20.399999999999977</v>
      </c>
      <c r="F71" s="163">
        <f t="shared" si="4"/>
        <v>0.84999999999999909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0" t="s">
        <v>48</v>
      </c>
      <c r="B72" s="370"/>
      <c r="C72" s="272">
        <f>SEPTEMBRE!K51+OCTOBRE!K51+NOVEMBRE!K58+DECEMBRE!K51</f>
        <v>499.2</v>
      </c>
      <c r="D72" s="102">
        <f>SEPTEMBRE!L51+OCTOBRE!L51+NOVEMBRE!L58+DECEMBRE!L51</f>
        <v>488</v>
      </c>
      <c r="E72" s="354">
        <f t="shared" si="5"/>
        <v>-11.199999999999989</v>
      </c>
      <c r="F72" s="163">
        <f t="shared" si="4"/>
        <v>-0.46666666666666617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0" t="s">
        <v>44</v>
      </c>
      <c r="B73" s="370"/>
      <c r="C73" s="272">
        <f>SEPTEMBRE!K52+OCTOBRE!K52+NOVEMBRE!K59+DECEMBRE!K52</f>
        <v>639.6</v>
      </c>
      <c r="D73" s="102">
        <f>SEPTEMBRE!L52+OCTOBRE!L52+NOVEMBRE!L59+DECEMBRE!L52</f>
        <v>550</v>
      </c>
      <c r="E73" s="240">
        <f t="shared" si="5"/>
        <v>-89.600000000000023</v>
      </c>
      <c r="F73" s="163">
        <f t="shared" si="4"/>
        <v>-3.7333333333333343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0" t="s">
        <v>23</v>
      </c>
      <c r="B74" s="370"/>
      <c r="C74" s="272">
        <f>SEPTEMBRE!K53+OCTOBRE!K53+NOVEMBRE!K60+DECEMBRE!K53</f>
        <v>530.4</v>
      </c>
      <c r="D74" s="102">
        <f>SEPTEMBRE!L53+OCTOBRE!L53+NOVEMBRE!L60+DECEMBRE!L53</f>
        <v>534</v>
      </c>
      <c r="E74" s="354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0" t="s">
        <v>32</v>
      </c>
      <c r="B75" s="370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4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0" t="s">
        <v>102</v>
      </c>
      <c r="B76" s="370"/>
      <c r="C76" s="272">
        <f>SEPTEMBRE!K55+OCTOBRE!K55+NOVEMBRE!K62+DECEMBRE!K55</f>
        <v>546</v>
      </c>
      <c r="D76" s="102">
        <f>SEPTEMBRE!L55+OCTOBRE!L55+NOVEMBRE!L62+DECEMBRE!L55</f>
        <v>648</v>
      </c>
      <c r="E76" s="354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1" t="s">
        <v>168</v>
      </c>
      <c r="B77" s="371"/>
      <c r="C77" s="272">
        <f>SEPTEMBRE!K56+OCTOBRE!K56+NOVEMBRE!K63+DECEMBRE!K56</f>
        <v>546</v>
      </c>
      <c r="D77" s="102">
        <f>SEPTEMBRE!L56+OCTOBRE!L56+NOVEMBRE!L63+DECEMBRE!L56</f>
        <v>616</v>
      </c>
      <c r="E77" s="354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