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21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517" documentId="11_82001204A17853BD4102BB3957D4EBE5562A03D3" xr6:coauthVersionLast="47" xr6:coauthVersionMax="47" xr10:uidLastSave="{E465A70A-EC2F-47B2-83AB-20AAB4E96AB3}"/>
  <bookViews>
    <workbookView xWindow="0" yWindow="660" windowWidth="29400" windowHeight="18460" tabRatio="500" firstSheet="11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H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<sst xmlns="http://schemas.openxmlformats.org/spreadsheetml/2006/main" count="4219" uniqueCount="230">
  <si>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</si>
  <si>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</si>
  <si>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</si>
  <si>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</si>
  <si>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</si>
  <si>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</si>
  <si>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</si>
  <si>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</si>
  <si>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</si>
  <si>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</si>
  <si>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</si>
  <si>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</si>
  <si>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</si>
  <si>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</si>
  <si>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</si>
  <si>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</si>
  <si>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</si>
  <si>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</si>
  <si>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</si>
  <si>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</si>
  <si>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</si>
  <si>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</si>
  <si>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</si>
  <si>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</si>
  <si>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</si>
  <si>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</si>
  <si>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</si>
  <si>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</si>
  <si>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</si>
  <si>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</si>
  <si>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</si>
  <si>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</si>
  <si>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</si>
  <si>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</si>
  <si>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</si>
  <si>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</si>
  <si>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</si>
  <si>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</si>
  <si>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</si>
  <si>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</si>
  <si>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</si>
  <si>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</si>
  <si>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</si>
  <si>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</si>
  <si>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</si>
  <si>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</si>
  <si>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</si>
  <si>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</si>
  <si>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</si>
  <si>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</si>
  <si>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</si>
  <si>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</si>
  <si>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</si>
  <si>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</si>
  <si>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</si>
  <si>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</si>
  <si>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</si>
  <si>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</si>
  <si>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</si>
  <si>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</si>
  <si>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</si>
  <si>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</si>
  <si>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</si>
  <si>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</si>
  <si>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</si>
  <si>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</si>
  <si>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</si>
  <si>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</si>
  <si>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</si>
  <si>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</si>
  <si>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</si>
  <si>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</si>
  <si>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</si>
  <si>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</si>
  <si>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</si>
  <si>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</si>
  <si>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</si>
  <si>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</si>
  <si>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</si>
  <si>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</si>
  <si>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</si>
  <si>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</si>
  <si>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</si>
  <si>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</si>
  <si>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</si>
  <si>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</si>
  <si>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</si>
  <si>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</si>
  <si>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</si>
  <si>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</si>
  <si>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</si>
  <si>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</si>
  <si>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</si>
  <si>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</si>
  <si>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</si>
  <si>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</si>
  <si>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</si>
  <si>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</si>
  <si>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</si>
  <si>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</si>
  <si>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</si>
  <si>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</si>
  <si>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</si>
  <si>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</si>
  <si>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</si>
  <si>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</si>
  <si>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</si>
  <si>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</si>
  <si>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</si>
  <si>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</si>
  <si>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</si>
  <si>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</si>
  <si>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</si>
  <si>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</si>
  <si>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</si>
  <si>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</si>
  <si>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</si>
  <si>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</si>
  <si>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</si>
  <si>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</si>
  <si>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</si>
  <si>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</si>
  <si>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</si>
  <si>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</si>
  <si>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</si>
  <si>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</si>
  <si>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</si>
  <si>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</si>
  <si>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</si>
  <si>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</si>
  <si>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</si>
  <si>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</si>
  <si>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</si>
  <si>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</si>
  <si>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</si>
  <si>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</si>
  <si>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</si>
  <si>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</si>
  <si>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</si>
  <si>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</si>
  <si>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</si>
  <si>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</si>
  <si>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</si>
  <si>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</si>
  <si>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</si>
  <si>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</si>
  <si>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</si>
  <si>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</si>
  <si>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</si>
  <si>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</si>
  <si>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</si>
  <si>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</si>
  <si>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</si>
  <si>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</si>
  <si>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</si>
  <si>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</si>
  <si>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</si>
  <si>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</si>
  <si>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</si>
  <si>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</si>
  <si>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</si>
  <si>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</si>
  <si>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</si>
  <si>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</si>
  <si>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</si>
  <si>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</si>
  <si>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</si>
  <si>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</si>
  <si>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</si>
  <si>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</si>
  <si>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</si>
  <si>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</si>
  <si>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</si>
  <si>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</si>
  <si>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</si>
  <si>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</si>
  <si>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</si>
  <si>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</si>
  <si>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</si>
  <si>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</si>
  <si>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</si>
  <si>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</si>
  <si>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</si>
  <si>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</si>
  <si>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</si>
  <si>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</si>
  <si>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</si>
  <si>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</si>
  <si>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</si>
  <si>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</si>
  <si>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</si>
  <si>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</si>
  <si>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</si>
  <si>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</si>
  <si>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</si>
  <si>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</si>
  <si>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</si>
  <si>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</si>
  <si>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</si>
  <si>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</si>
  <si>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</si>
  <si>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</si>
  <si>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</si>
  <si>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</si>
  <si>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</si>
  <si>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</si>
  <si>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</si>
  <si>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</si>
  <si>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</si>
  <si>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</si>
  <si>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</si>
  <si>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</si>
  <si>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</si>
  <si>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</si>
  <si>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</si>
  <si>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</si>
  <si>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</si>
  <si>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</si>
  <si>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</si>
  <si>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</si>
  <si>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</si>
  <si>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</si>
  <si>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</si>
  <si>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rodrigue USC</t>
  </si>
  <si>
    <t>rodrigue USC / tody bloc</t>
  </si>
  <si>
    <t>yann/remy</t>
  </si>
  <si>
    <t>Remy</t>
  </si>
  <si>
    <t>alice/remy</t>
  </si>
  <si>
    <t>richard/remy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</si>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</sst>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29" fillId="14" borderId="9" xfId="0" applyFont="1" applyFill="1" applyBorder="1" applyAlignment="1">
      <alignment horizontal="center"/>
    </xf>
    <xf numFmtId="0" fontId="7" fillId="14" borderId="15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0F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9" t="s">
        <v>0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9" t="s">
        <v>72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2" t="s">
        <v>53</v>
      </c>
      <c r="B40" s="372"/>
      <c r="C40" s="372"/>
      <c r="D40" s="372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366"/>
      <c r="P42" s="366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366"/>
      <c r="P43" s="366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5"/>
      <c r="J44" s="365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101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366"/>
      <c r="P35" s="366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5"/>
      <c r="J37" s="365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8" t="s">
        <v>57</v>
      </c>
      <c r="D60" s="368"/>
      <c r="E60" s="368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5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9" t="s">
        <v>115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366"/>
      <c r="P35" s="366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366"/>
      <c r="P36" s="366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9" t="s">
        <v>134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2" t="s">
        <v>53</v>
      </c>
      <c r="B40" s="372"/>
      <c r="C40" s="372"/>
      <c r="D40" s="372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366"/>
      <c r="P42" s="366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366"/>
      <c r="P43" s="366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7">
        <f>COUNTIF($C$4:$C$38,"AZZEDINE")+COUNTIF($H$4:$H$38,"AZZEDINE")+COUNTIF($I$4:$I$38,"AZZEDINE")+COUNTIF($F$4:$F$38,"AZZEDINE")+D72</f>
        <v>3</v>
      </c>
      <c r="F63" s="367">
        <f>COUNTIF($D$4:$D$38,"AZZEDINE")+COUNTIF($H$4:$H$38,"AZZEDINE")+COUNTIF($G$4:$G$38,"AZZEDINE")</f>
        <v>0</v>
      </c>
      <c r="G63" s="367">
        <f>COUNTIF($E$4:$E$38,"AZZEDINE")</f>
        <v>0</v>
      </c>
      <c r="H63" s="367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9" t="s">
        <v>159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7"/>
      <c r="O36" s="366"/>
    </row>
    <row r="37" spans="1:20" ht="12" customHeight="1">
      <c r="A37" s="73"/>
      <c r="B37" s="73"/>
      <c r="C37" s="160" t="s">
        <v>38</v>
      </c>
      <c r="D37" s="235">
        <v>1</v>
      </c>
      <c r="E37" s="367">
        <f>COUNTIF($C$4:$C$31,"BOULAT")+COUNTIF($F$4:$F$31,"BOULAT")+COUNTIF($I$4:$I$31,"BOULAT")+COUNTIF($K$4:$K$31,"BOULAT")</f>
        <v>4</v>
      </c>
      <c r="F37" s="367">
        <f>COUNTIF($D$4:$D$31,"BOULAT")+COUNTIF($G$4:$G$31,"BOULAT")</f>
        <v>3</v>
      </c>
      <c r="G37" s="367">
        <f>COUNTIF($E$4:$E$31,"BOULAT")</f>
        <v>0</v>
      </c>
      <c r="H37" s="160"/>
      <c r="I37" s="367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7">
        <f>COUNTIF($C$4:$C$31,"BRUGIROUX")+COUNTIF($I$4:$I$31,"BRUGIROUX")+COUNTIF($F$4:$F$31,"BRUGIROUX")+COUNTIF($K$4:$K$31,"BRUGIROUX")</f>
        <v>5</v>
      </c>
      <c r="F38" s="367">
        <f>COUNTIF($D$4:$D$31,"BRUGIROUX")+COUNTIF($G$4:$G$31,"BRUGIROUX")</f>
        <v>8</v>
      </c>
      <c r="G38" s="367">
        <f>COUNTIF($E$4:$E$31,"BRUGIROUX")</f>
        <v>1</v>
      </c>
      <c r="H38" s="160">
        <f>COUNTIF($J$4:$J$31,"BRUGIROUX")</f>
        <v>0</v>
      </c>
      <c r="I38" s="367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7">
        <f>COUNTIF($C$4:$C$31,"CAUVY")+COUNTIF($F$4:$F$31,"CAUVY")+COUNTIF($I$4:$I$31,"CAUVY")+COUNTIF($K$4:$K$31,"CAUVY")</f>
        <v>4</v>
      </c>
      <c r="F39" s="367">
        <f>COUNTIF($D$4:$D$31,"CAUVY")+COUNTIF($G$4:$G$31,"CAUVY")</f>
        <v>0</v>
      </c>
      <c r="G39" s="367">
        <f>COUNTIF($E$4:$E$31,"CAUVY")</f>
        <v>1</v>
      </c>
      <c r="H39" s="367"/>
      <c r="I39" s="367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7">
        <f>COUNTIF($C$4:$C$31,"FONTAINE")+COUNTIF($I$4:$I$31,"FONTAINE")+COUNTIF($F$4:$F$31,"FONTAINE")+COUNTIF($K$4:$K$31,"FONTAINE")</f>
        <v>3</v>
      </c>
      <c r="F40" s="367">
        <f>COUNTIF($D$4:$D$31,"FONTAINE")+COUNTIF($G$4:$G$31,"FONTAINE")</f>
        <v>2</v>
      </c>
      <c r="G40" s="367">
        <f>COUNTIF($E$4:$E$31,"FONTAINE")</f>
        <v>0</v>
      </c>
      <c r="H40" s="160"/>
      <c r="I40" s="367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7">
        <f>COUNTIF($C$4:$C$31,"KANTCHE")+COUNTIF($I$4:$I$31,"KANTCHE")+COUNTIF($F$4:$F$31,"KANTCHE")+COUNTIF($K$4:$K$31,"KANTCHE")</f>
        <v>4</v>
      </c>
      <c r="F41" s="367">
        <f>COUNTIF($D$4:$D$31,"KANTCHE")+COUNTIF($G$4:$G$31,"KANTCHE")</f>
        <v>3</v>
      </c>
      <c r="G41" s="367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7">
        <f>COUNTIF($C$4:$C$31,"ORIOLI")+COUNTIF($I$4:$I$31,"ORIOLI")+COUNTIF($F$4:$F$31,"ORIOLI")+COUNTIF($K$4:$K$31,"ORIOLI")</f>
        <v>5</v>
      </c>
      <c r="F42" s="367">
        <f>COUNTIF($D$4:$D$31,"ORIOLI")+COUNTIF($G$4:$G$31,"ORIOLI")</f>
        <v>5</v>
      </c>
      <c r="G42" s="367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7">
        <f>COUNTIF($C$4:$C$31,"TKATCHOUK")+COUNTIF($I$4:$I$31,"TKATCHOUK")+COUNTIF($F$4:$F$31,"TKATCHOUK")+COUNTIF($K$4:$K$31,"TKATCHOUK")</f>
        <v>0</v>
      </c>
      <c r="F43" s="367">
        <f>COUNTIF($D$4:$D$31,"TKATCHOUK")+COUNTIF($G$4:$G$31,"TKATCHOUK")</f>
        <v>0</v>
      </c>
      <c r="G43" s="367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7">
        <f>COUNTIF($C$4:$C$31,"TORREGROSSA")+COUNTIF($I$4:$I$31,"TORREGROSSA")+COUNTIF($F$4:$F$31,"TORREGROSSA")+COUNTIF($K$4:$K$31,"TORREGROSSA")</f>
        <v>4</v>
      </c>
      <c r="F44" s="367">
        <f>COUNTIF($D$4:$D$31,"TORREGROSSA")+COUNTIF($G$4:$G$31,"TORREGROSSA")</f>
        <v>4</v>
      </c>
      <c r="G44" s="367">
        <f>COUNTIF($E$4:$E$31,"TORREGROSSA")</f>
        <v>0</v>
      </c>
      <c r="H44" s="367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7">
        <f>COUNTIF($C$4:$C$31,"BALLOT")+COUNTIF($F$4:$F$31,"BALLOT")+COUNTIF($I$4:$I$31,"BALLOT")+COUNTIF($K$4:$K$31,"BALLOT")</f>
        <v>2</v>
      </c>
      <c r="F45" s="367">
        <f>COUNTIF($D$4:$D$31,"BALLOT")+COUNTIF($G$4:$G$31,"BALLOT")</f>
        <v>0</v>
      </c>
      <c r="G45" s="367">
        <f>COUNTIF($E$4:$E$31,"BALLOT")</f>
        <v>3</v>
      </c>
      <c r="H45" s="367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7">
        <f>COUNTIF($C$4:$C$31,"MOREL")+COUNTIF($I$4:$I$31,"MOREL")+COUNTIF($F$4:$F$31,"MOREL")+COUNTIF($K$4:$K$31,"MOREL")</f>
        <v>5</v>
      </c>
      <c r="F46" s="367">
        <f>COUNTIF($D$4:$D$31,"MOREL")+COUNTIF($G$4:$G$31,"MOREL")</f>
        <v>0</v>
      </c>
      <c r="G46" s="367">
        <f>COUNTIF($E$4:$E$31,"MOREL")</f>
        <v>0</v>
      </c>
      <c r="H46" s="367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7">
        <f>COUNTIF($C$4:$C$31,"RACHIDI")+COUNTIF($I$4:$I$31,"RACHIDI")+COUNTIF($F$4:$F$31,"RACHIDI")+COUNTIF($K$4:$K$31,"RACHIDI")</f>
        <v>1</v>
      </c>
      <c r="F47" s="367">
        <f>COUNTIF($D$4:$D$31,"RACHIDI")+COUNTIF($G$4:$G$31,"RACHIDI")</f>
        <v>1</v>
      </c>
      <c r="G47" s="367">
        <f>COUNTIF($E$4:$E$31,"RACHIDI")</f>
        <v>0</v>
      </c>
      <c r="H47" s="367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7">
        <f>COUNTIF($C$4:$C$31,"ZEBICHE")+COUNTIF($F$4:$F$31,"ZEBICHE")+COUNTIF($I$4:$I$31,"ZEBICHE")+COUNTIF($K$4:$K$31,"ZEBICHE")</f>
        <v>9</v>
      </c>
      <c r="F48" s="367">
        <f>COUNTIF($D$4:$D$31,"ZEBICHE")+COUNTIF($G$4:$G$31,"ZEBICHE")</f>
        <v>9</v>
      </c>
      <c r="G48" s="367">
        <f>COUNTIF($E$4:$E$31,"ZEBICHE")</f>
        <v>0</v>
      </c>
      <c r="H48" s="367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7">
        <f>COUNTIF($C$4:$C$31,"HACHIMI")+COUNTIF($F$4:$F$31,"HACHIMI")+COUNTIF($H$4:$H$31,"HACHIMI")+COUNTIF($I$4:$I$31,"HACHIMI")+D58+COUNTIF($K$4:$K$31,"HACHIMI")</f>
        <v>8</v>
      </c>
      <c r="F49" s="367">
        <f>COUNTIF($D$4:$D$31,"HACHIMI")+COUNTIF($H$4:$H$31,"HACHIMI")+COUNTIF($G$4:$G$31,"HACHIMI")</f>
        <v>7</v>
      </c>
      <c r="G49" s="367">
        <f>COUNTIF($E$4:$E$31,"HACHIMI")</f>
        <v>2</v>
      </c>
      <c r="H49" s="367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7">
        <f>COUNTIF($C$4:$C$31,"BIENDOUX")+COUNTIF($H$4:$H$31,"BIENDOUX")+COUNTIF($I$4:$I$31,"BIENDOUX")+COUNTIF($F$4:$F$31,"BIENDOUX")+D59+COUNTIF($K$4:$K$31,"BIENDOUX")</f>
        <v>14</v>
      </c>
      <c r="F50" s="367">
        <v>4</v>
      </c>
      <c r="G50" s="367">
        <f>COUNTIF($E$4:$E$31,"BIENDOUX")</f>
        <v>0</v>
      </c>
      <c r="H50" s="367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7">
        <f>COUNTIF($C$4:$C$31,"AFZAL")+COUNTIF($H$4:$H$31,"AFZAL")+COUNTIF($I$4:$I$31,"AFZAL")+COUNTIF($F$4:$F$31,"AFZAL")+D60+COUNTIF($K$4:$K$31,"AFZAL")</f>
        <v>8</v>
      </c>
      <c r="F51" s="367">
        <v>9</v>
      </c>
      <c r="G51" s="367">
        <f>COUNTIF($E$4:$E$31,"AFZAL")</f>
        <v>1</v>
      </c>
      <c r="H51" s="367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7">
        <f>COUNTIF($C$4:$C$31,"IBRAHIM")+COUNTIF($H$4:$H$31,"IBRAHIM")+COUNTIF($I$4:$I$31,"IBRAHIM")+COUNTIF($K$4:$K$31,"IBRAHIM")+COUNTIF($F$4:$F$31,"IBRAHIM")+D61</f>
        <v>8</v>
      </c>
      <c r="F52" s="367">
        <v>6</v>
      </c>
      <c r="G52" s="367">
        <f>COUNTIF($E$4:$E$31,"IBRAHIM")</f>
        <v>3</v>
      </c>
      <c r="H52" s="367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7">
        <f>COUNTIF($C$4:$C$31,"IMAD")+COUNTIF($H$4:$H$31,"IMAD")+COUNTIF($I$4:$I$31,"IMAD")+COUNTIF($F$4:$F$31,"IMAD")+D62+COUNTIF($K$4:$K$31,"IMAD")</f>
        <v>6</v>
      </c>
      <c r="F53" s="367">
        <f>COUNTIF($D$4:$D$31,"IMAD")+COUNTIF($H$4:$H$31,"IMAD")+COUNTIF($G$4:$G$31,"IMAD")</f>
        <v>5</v>
      </c>
      <c r="G53" s="367">
        <f>COUNTIF($E$4:$E$31,"IMAD")</f>
        <v>1</v>
      </c>
      <c r="H53" s="367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7">
        <f>COUNTIF($C$4:$C$31,"RADO")+COUNTIF($H$4:$H$31,"RADO")+COUNTIF($I$4:$I$31,"RADO")+COUNTIF($F$4:$F$31,"RADO")+D63+COUNTIF($K$4:$K$31,"RADO")</f>
        <v>14</v>
      </c>
      <c r="F54" s="367">
        <f>COUNTIF($D$4:$D$31,"RADO")+COUNTIF($H$4:$H$31,"RADO")+COUNTIF($G$4:$G$31,"RADO")</f>
        <v>2</v>
      </c>
      <c r="G54" s="367">
        <f>COUNTIF($E$4:$E$31,"RADO")</f>
        <v>2</v>
      </c>
      <c r="H54" s="367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7">
        <f>COUNTIF($C$4:$C$31,"TODY")+COUNTIF($H$4:$H$31,"TODY")+COUNTIF($I$4:$I$31,"TODY")+COUNTIF($F$4:$F$31,"TODY")+D64+COUNTIF($K$4:$K$31,"TODY")</f>
        <v>11</v>
      </c>
      <c r="F55" s="367">
        <f>COUNTIF($D$4:$D$31,"TODY")+COUNTIF($H$4:$H$31,"TODY")+COUNTIF($G$4:$G$31,"TODY")</f>
        <v>2</v>
      </c>
      <c r="G55" s="367">
        <f>COUNTIF($E$4:$E$31,"TODY")</f>
        <v>2</v>
      </c>
      <c r="H55" s="367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7">
        <f>COUNTIF($C$4:$C$31,"RODRIGUE")+COUNTIF($H$4:$H$31,"RODRIGUE")+COUNTIF($I$4:$I$31,"RODRIGUE")+COUNTIF($F$4:$F$31,"RODRIGUE")+D65+COUNTIF($K$4:$K$31,"RODRIGUE")</f>
        <v>6</v>
      </c>
      <c r="F56" s="367">
        <f>COUNTIF($D$4:$D$31,"RODRIGUE")+COUNTIF($H$4:$H$31,"RODRIGUE")+COUNTIF($G$4:$G$31,"RODRIGUE")</f>
        <v>3</v>
      </c>
      <c r="G56" s="367">
        <f>COUNTIF($E$4:$E$31,"RODRIGUE")</f>
        <v>2</v>
      </c>
      <c r="H56" s="367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69" t="s">
        <v>174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</row>
    <row r="2" spans="1:20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2"/>
      <c r="O40" s="372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7">
        <f>COUNTIF($C$4:$C$38,"BOULAT")+COUNTIF($F$4:$F$38,"BOULAT")+COUNTIF($I$4:$I$38,"BOULAT")+COUNTIF($K$4:$K$38,"BOULAT")</f>
        <v>8</v>
      </c>
      <c r="F42" s="367">
        <f>COUNTIF($D$4:$D$38,"BOULAT")+COUNTIF($G$4:$G$38,"BOULAT")</f>
        <v>6</v>
      </c>
      <c r="G42" s="367">
        <f>COUNTIF($E$4:$E$38,"BOULAT")</f>
        <v>0</v>
      </c>
      <c r="H42" s="160"/>
      <c r="I42" s="367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7">
        <f>COUNTIF($C$4:$C$38,"BRUGIROUX")+COUNTIF($F$4:$F$38,"BRUGIROUX")+COUNTIF($I$4:$I$38,"BRUGIROUX")+COUNTIF($K$4:$K$38,"BRUGIROUX")</f>
        <v>7</v>
      </c>
      <c r="F43" s="367">
        <f>COUNTIF($D$4:$D$38,"BRUGIROUX")+COUNTIF($G$4:$G$38,"BRUGIROUX")</f>
        <v>10</v>
      </c>
      <c r="G43" s="367">
        <f>COUNTIF($E$4:$E$38,"BRUGIROUX")</f>
        <v>0</v>
      </c>
      <c r="H43" s="160">
        <v>1</v>
      </c>
      <c r="I43" s="367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7">
        <f>COUNTIF($C$4:$C$38,"CAUVY")+COUNTIF($F$4:$F$38,"CAUVY")+COUNTIF($I$4:$I$38,"CAUVY")+COUNTIF($K$4:$K$38,"CAUVY")</f>
        <v>2</v>
      </c>
      <c r="F44" s="367">
        <f>COUNTIF($D$4:$D$38,"CAUVY")+COUNTIF($G$4:$G$38,"CAUVY")</f>
        <v>0</v>
      </c>
      <c r="G44" s="367">
        <f>COUNTIF($E$4:$E$38,"CAUVY")</f>
        <v>1</v>
      </c>
      <c r="H44" s="367"/>
      <c r="I44" s="367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7">
        <f>COUNTIF($C$4:$C$38,"FONTAINE")+COUNTIF($F$4:$F$38,"FONTAINE")+COUNTIF($I$4:$I$38,"FONTAINE")+COUNTIF($K$4:$K$38,"FONTAINE")</f>
        <v>5</v>
      </c>
      <c r="F45" s="367">
        <f>COUNTIF($D$4:$D$38,"FONTAINE")+COUNTIF($G$4:$G$38,"FONTAINE")</f>
        <v>4</v>
      </c>
      <c r="G45" s="367">
        <f>COUNTIF($E$4:$E$38,"FONTAINE")</f>
        <v>1</v>
      </c>
      <c r="H45" s="160"/>
      <c r="I45" s="367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7">
        <f>COUNTIF($C$4:$C$38,"KANTCHE")+COUNTIF($F$4:$F$38,"KANTCHE")+COUNTIF($I$4:$I$38,"KANTCHE")+COUNTIF($K$4:$K$38,"KANTCHE")</f>
        <v>5</v>
      </c>
      <c r="F46" s="367">
        <f>COUNTIF($D$4:$D$38,"KANTCHE")+COUNTIF($G$4:$G$38,"KANTCHE")</f>
        <v>1</v>
      </c>
      <c r="G46" s="367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7">
        <f>COUNTIF($C$4:$C$38,"ORIOLI")+COUNTIF($F$4:$F$38,"ORIOLI")+COUNTIF($I$4:$I$38,"ORIOLI")+COUNTIF($K$4:$K$38,"ORIOLI")</f>
        <v>7</v>
      </c>
      <c r="F47" s="367">
        <f>COUNTIF($D$4:$D$38,"ORIOLI")+COUNTIF($G$4:$G$38,"ORIOLI")</f>
        <v>7</v>
      </c>
      <c r="G47" s="367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7">
        <f>COUNTIF($C$4:$C$38,"TKATCHOUK")+COUNTIF($F$4:$F$38,"TKATCHOUK")+COUNTIF($I$4:$I$38,"TKATCHOUK")+COUNTIF($K$4:$K$38,"TKATCHOUK")</f>
        <v>0</v>
      </c>
      <c r="F48" s="367">
        <f>COUNTIF($D$4:$D$38,"TKATCHOUK")+COUNTIF($G$4:$G$38,"TKATCHOUK")</f>
        <v>0</v>
      </c>
      <c r="G48" s="367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7">
        <f>COUNTIF($C$4:$C$38,"TORREGROSSA")+COUNTIF($F$4:$F$38,"TORREGROSSA")+COUNTIF($K$4:$K$38,"TORREGROSSA")+COUNTIF($I$4:$I$38,"TORREGROSSA")</f>
        <v>10</v>
      </c>
      <c r="F49" s="367">
        <f>COUNTIF($D$4:$D$38,"TORREGROSSA")+COUNTIF($G$4:$G$38,"TORREGROSSA")</f>
        <v>3</v>
      </c>
      <c r="G49" s="367">
        <f>COUNTIF($E$4:$E$38,"TORREGROSSA")</f>
        <v>0</v>
      </c>
      <c r="H49" s="367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7">
        <f>COUNTIF($C$4:$C$38,"BALLOT")+COUNTIF($F$4:$F$38,"BALLOT")+COUNTIF($I$4:$I$38,"BALLOT")+COUNTIF($K$4:$K$38,"BALLOT")</f>
        <v>1</v>
      </c>
      <c r="F50" s="367">
        <f>COUNTIF($D$4:$D$38,"BALLOT")+COUNTIF($G$4:$G$38,"BALLOT")</f>
        <v>0</v>
      </c>
      <c r="G50" s="367">
        <f>COUNTIF($E$4:$E$38,"BALLOT")</f>
        <v>2</v>
      </c>
      <c r="H50" s="367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7">
        <f>COUNTIF($C$4:$C$38,"MOREL")+COUNTIF($F$4:$F$38,"MOREL")+COUNTIF($I$4:$I$38,"MOREL")+COUNTIF($K$4:$K$38,"MOREL")</f>
        <v>8</v>
      </c>
      <c r="F51" s="367">
        <f>COUNTIF($D$4:$D$38,"MOREL")+COUNTIF($G$4:$G$38,"MOREL")</f>
        <v>0</v>
      </c>
      <c r="G51" s="367">
        <f>COUNTIF($E$4:$E$38,"MOREL")</f>
        <v>0</v>
      </c>
      <c r="H51" s="367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7">
        <f>COUNTIF($C$4:$C$38,"RACHIDI")+COUNTIF($F$4:$F$38,"RACHIDI")+COUNTIF($I$4:$I$38,"RACHIDI")+COUNTIF($K$4:$K$38,"RACHIDI")</f>
        <v>6</v>
      </c>
      <c r="F52" s="367">
        <f>COUNTIF($D$4:$D$38,"RACHIDI")+COUNTIF($G$4:$G$38,"RACHIDI")</f>
        <v>8</v>
      </c>
      <c r="G52" s="367">
        <f>COUNTIF($E$4:$E$38,"RACHIDI")</f>
        <v>0</v>
      </c>
      <c r="H52" s="367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7">
        <f>COUNTIF($C$4:$C$38,"ZEBICHE")+COUNTIF($F$4:$F$38,"ZEBICHE")+COUNTIF($I$4:$I$38,"ZEBICHE")+COUNTIF($K$4:$K$38,"ZEBICHE")</f>
        <v>9</v>
      </c>
      <c r="F53" s="367">
        <f>COUNTIF($D$4:$D$38,"ZEBICHE")+COUNTIF($G$4:$G$38,"ZEBICHE")</f>
        <v>9</v>
      </c>
      <c r="G53" s="367">
        <f>COUNTIF($E$4:$E$38,"ZEBICHE")</f>
        <v>0</v>
      </c>
      <c r="H53" s="367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7">
        <f>COUNTIF($C$4:$C$38,"HACHIMI")+COUNTIF($F$4:$F$38,"HACHIMI")+COUNTIF($H$4:$H$38,"HACHIMI")+COUNTIF($I$4:$I$38,"HACHIMI")+H65+COUNTIF($K$4:$K$38,"HACHIMI")</f>
        <v>5</v>
      </c>
      <c r="F54" s="367">
        <v>5</v>
      </c>
      <c r="G54" s="367">
        <f>COUNTIF($E$4:$E$38,"HACHIMI")</f>
        <v>0</v>
      </c>
      <c r="H54" s="367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7">
        <f>COUNTIF($C$4:$C$38,"BIENDOUX")+COUNTIF($F$4:$F$38,"BIENDOUX")+COUNTIF($H$4:$H$38,"BIENDOUX")+COUNTIF($I$4:$I$38,"BIENDOUX")+H66+COUNTIF($K$4:$K$38,"BIENDOUX")</f>
        <v>14</v>
      </c>
      <c r="F55" s="367">
        <v>5</v>
      </c>
      <c r="G55" s="367">
        <f>COUNTIF($E$4:$E$38,"BIENDOUX")</f>
        <v>1</v>
      </c>
      <c r="H55" s="367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7">
        <v>9</v>
      </c>
      <c r="G56" s="367">
        <f>COUNTIF($E$4:$E$38,"AFZAL")</f>
        <v>1</v>
      </c>
      <c r="H56" s="367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7">
        <v>8</v>
      </c>
      <c r="F57" s="367">
        <v>9</v>
      </c>
      <c r="G57" s="367">
        <f>COUNTIF($E$4:$E$38,"IBRAHIM")</f>
        <v>3</v>
      </c>
      <c r="H57" s="367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7">
        <f>COUNTIF($D$4:$D$38,"IMAD")+COUNTIF($H$4:$H$38,"IMAD")+COUNTIF($G$4:$G$38,"IMAD")</f>
        <v>3</v>
      </c>
      <c r="G58" s="367">
        <f>COUNTIF($E$4:$E$38,"IMAD")</f>
        <v>1</v>
      </c>
      <c r="H58" s="367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7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7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7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7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8" t="s">
        <v>57</v>
      </c>
      <c r="D63" s="368"/>
      <c r="E63" s="368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K28" sqref="K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189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8" t="s">
        <v>57</v>
      </c>
      <c r="M35" s="368"/>
      <c r="N35" s="366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1" zoomScale="112" zoomScaleNormal="112" workbookViewId="0">
      <selection activeCell="I49" sqref="I49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9" t="s">
        <v>199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63" t="s">
        <v>36</v>
      </c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51" t="s">
        <v>32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8" t="s">
        <v>57</v>
      </c>
      <c r="M35" s="368"/>
      <c r="N35" s="366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1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172</v>
      </c>
      <c r="M38" s="239">
        <f t="shared" si="2"/>
        <v>62.8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3.2</v>
      </c>
      <c r="J40" s="84">
        <f t="shared" si="0"/>
        <v>24.192</v>
      </c>
      <c r="K40" s="85">
        <f t="shared" si="1"/>
        <v>99.84</v>
      </c>
      <c r="L40" s="85">
        <f>E40*10+F40*14+G40*12</f>
        <v>182</v>
      </c>
      <c r="M40" s="237">
        <f t="shared" si="2"/>
        <v>82.16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10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164</v>
      </c>
      <c r="M44" s="237">
        <f t="shared" si="2"/>
        <v>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7</v>
      </c>
      <c r="J51" s="84">
        <f t="shared" si="3"/>
        <v>23.4</v>
      </c>
      <c r="K51" s="85">
        <f t="shared" si="1"/>
        <v>101.4</v>
      </c>
      <c r="L51" s="85">
        <f t="shared" si="4"/>
        <v>94</v>
      </c>
      <c r="M51" s="237">
        <f t="shared" si="2"/>
        <v>-7.4000000000000057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15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4</v>
      </c>
      <c r="J54" s="84">
        <f t="shared" si="3"/>
        <v>28.8</v>
      </c>
      <c r="K54" s="85">
        <f t="shared" si="1"/>
        <v>124.8</v>
      </c>
      <c r="L54" s="85">
        <f t="shared" si="4"/>
        <v>176</v>
      </c>
      <c r="M54" s="237">
        <f t="shared" si="2"/>
        <v>51.2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K5 C26:I31 F4:J4 G25:K25 F19:I20 J20 J28:K3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B1" zoomScale="112" zoomScaleNormal="112" workbookViewId="0">
      <selection activeCell="K33" sqref="K3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9" t="s">
        <v>212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20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341" t="s">
        <v>197</v>
      </c>
      <c r="D16" s="228" t="s">
        <v>36</v>
      </c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341" t="s">
        <v>46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 t="s">
        <v>20</v>
      </c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189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6" t="s">
        <v>28</v>
      </c>
      <c r="I36" s="364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231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72" t="s">
        <v>53</v>
      </c>
      <c r="B40" s="372"/>
      <c r="C40" s="372"/>
      <c r="D40" s="372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8" t="s">
        <v>57</v>
      </c>
      <c r="M42" s="368"/>
      <c r="N42" s="366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5" t="s">
        <v>64</v>
      </c>
      <c r="J43" s="365" t="s">
        <v>65</v>
      </c>
      <c r="K43" s="365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8</v>
      </c>
      <c r="F45" s="83">
        <f>COUNTIF($D$4:$D$38,"BRUGIROUX")+COUNTIF($G$4:$G$38,"BRUGIROUX")</f>
        <v>9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206</v>
      </c>
      <c r="M45" s="237">
        <f t="shared" si="2"/>
        <v>89.000000000000014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5</v>
      </c>
      <c r="F47" s="83">
        <f>COUNTIF($D$4:$D$38,"FONTAINE")+COUNTIF($G$4:$G$38,"FONTAINE")</f>
        <v>7</v>
      </c>
      <c r="G47" s="83">
        <f>COUNTIF($E$4:$E$38,"FONTAINE")</f>
        <v>2</v>
      </c>
      <c r="H47" s="81"/>
      <c r="I47" s="85">
        <v>2.8</v>
      </c>
      <c r="J47" s="84">
        <f t="shared" si="0"/>
        <v>30.528000000000002</v>
      </c>
      <c r="K47" s="85">
        <f t="shared" si="1"/>
        <v>127.91999999999999</v>
      </c>
      <c r="L47" s="85">
        <f>E47*10+F47*14+G47*12</f>
        <v>172</v>
      </c>
      <c r="M47" s="237">
        <f t="shared" si="2"/>
        <v>44.080000000000013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9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1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194</v>
      </c>
      <c r="M51" s="237">
        <f t="shared" si="2"/>
        <v>45.800000000000011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1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43.2</v>
      </c>
      <c r="K54" s="85">
        <f t="shared" si="1"/>
        <v>187.2</v>
      </c>
      <c r="L54" s="85">
        <f t="shared" si="4"/>
        <v>196</v>
      </c>
      <c r="M54" s="237">
        <f t="shared" si="2"/>
        <v>8.8000000000000114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7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200</v>
      </c>
      <c r="M61" s="320">
        <f t="shared" si="2"/>
        <v>36.200000000000017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L12 L14 E18:J18 I16:K16 C25:J25 E17:K17 I19:K19 G20:K21 E8:L8 K23:K26 E15:K15 E26:J26 C27:J28 K28:K33 C29:E29 H29:J29 E30:J30 E19:F24 C33:D36 E5:L5 E34:J34 F35:K35 E36:K36 F37:G37 I37:K38 C10:C12 D10 G22:J24 F13:K14 F12:H12 J12 C14:D23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E5" sqref="E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221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7" t="s">
        <v>23</v>
      </c>
      <c r="D5" s="297" t="s">
        <v>23</v>
      </c>
      <c r="E5" s="297" t="s">
        <v>168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7" t="s">
        <v>23</v>
      </c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156</v>
      </c>
      <c r="M11" s="34"/>
      <c r="N11" s="34" t="s">
        <v>223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48" t="s">
        <v>20</v>
      </c>
      <c r="L12" s="179" t="s">
        <v>156</v>
      </c>
      <c r="M12" s="30"/>
      <c r="N12" s="34" t="s">
        <v>223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48" t="s">
        <v>20</v>
      </c>
      <c r="L13" s="179" t="s">
        <v>156</v>
      </c>
      <c r="M13" s="30"/>
      <c r="N13" s="34" t="s">
        <v>224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48" t="s">
        <v>20</v>
      </c>
      <c r="L14" s="179" t="s">
        <v>156</v>
      </c>
      <c r="M14" s="30"/>
      <c r="N14" s="34" t="s">
        <v>224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62" t="s">
        <v>21</v>
      </c>
      <c r="I15" s="32"/>
      <c r="J15" s="357" t="s">
        <v>22</v>
      </c>
      <c r="K15" s="28"/>
      <c r="L15" s="179" t="s">
        <v>225</v>
      </c>
      <c r="M15" s="30"/>
      <c r="N15" s="34" t="s">
        <v>223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61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 t="s">
        <v>226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227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228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228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229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229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229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229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8" t="s">
        <v>57</v>
      </c>
      <c r="M35" s="368"/>
      <c r="N35" s="366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5" t="s">
        <v>64</v>
      </c>
      <c r="J36" s="365" t="s">
        <v>65</v>
      </c>
      <c r="K36" s="365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3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126</v>
      </c>
      <c r="M44" s="237">
        <f t="shared" si="2"/>
        <v>24.599999999999994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1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26.639999999999997</v>
      </c>
      <c r="K47" s="85">
        <f t="shared" si="1"/>
        <v>115.44</v>
      </c>
      <c r="L47" s="85">
        <f t="shared" si="3"/>
        <v>124</v>
      </c>
      <c r="M47" s="237">
        <f t="shared" si="2"/>
        <v>8.5600000000000023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9</v>
      </c>
      <c r="F53" s="83">
        <f>COUNTIF($D$4:$D$31,"IMAD")+COUNTIF($I$4:$I$31,"IMAD")+COUNTIF($G$4:$G$31,"IMAD")</f>
        <v>5</v>
      </c>
      <c r="G53" s="83">
        <f>COUNTIF($E$4:$E$31,"IMAD")</f>
        <v>2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184</v>
      </c>
      <c r="M53" s="237">
        <f t="shared" si="2"/>
        <v>51.400000000000006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2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166</v>
      </c>
      <c r="M56" s="237">
        <f t="shared" si="2"/>
        <v>49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5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73" t="s">
        <v>38</v>
      </c>
      <c r="B58" s="373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73" t="s">
        <v>36</v>
      </c>
      <c r="B59" s="373"/>
      <c r="C59" s="270">
        <f>SEPTEMBRE!K38+OCTOBRE!K38+NOVEMBRE!K45+DECEMBRE!K38</f>
        <v>436.79999999999995</v>
      </c>
      <c r="D59" s="101">
        <f>SEPTEMBRE!L38+OCTOBRE!L38+NOVEMBRE!L45+DECEMBRE!L38</f>
        <v>678</v>
      </c>
      <c r="E59" s="346">
        <f>D59-C59</f>
        <v>241.20000000000005</v>
      </c>
      <c r="F59" s="162">
        <f t="shared" si="4"/>
        <v>10.050000000000002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73" t="s">
        <v>21</v>
      </c>
      <c r="B60" s="373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73" t="s">
        <v>31</v>
      </c>
      <c r="B61" s="373"/>
      <c r="C61" s="270">
        <f>SEPTEMBRE!K40+OCTOBRE!K40+NOVEMBRE!K47+DECEMBRE!K40</f>
        <v>418.08000000000004</v>
      </c>
      <c r="D61" s="101">
        <f>SEPTEMBRE!L40+OCTOBRE!L40+NOVEMBRE!L47+DECEMBRE!L40</f>
        <v>604</v>
      </c>
      <c r="E61" s="346">
        <f>D61-C61</f>
        <v>185.91999999999996</v>
      </c>
      <c r="F61" s="162">
        <f t="shared" si="4"/>
        <v>7.7466666666666653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74" t="s">
        <v>28</v>
      </c>
      <c r="B62" s="374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74" t="s">
        <v>42</v>
      </c>
      <c r="B63" s="374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74" t="s">
        <v>47</v>
      </c>
      <c r="B64" s="374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74" t="s">
        <v>20</v>
      </c>
      <c r="B65" s="374"/>
      <c r="C65" s="270">
        <f>SEPTEMBRE!K44+OCTOBRE!K44+NOVEMBRE!K51+DECEMBRE!K44</f>
        <v>499.19999999999993</v>
      </c>
      <c r="D65" s="101">
        <f>SEPTEMBRE!L44+OCTOBRE!L44+NOVEMBRE!L51+DECEMBRE!L44</f>
        <v>584</v>
      </c>
      <c r="E65" s="346">
        <f t="shared" si="5"/>
        <v>84.800000000000068</v>
      </c>
      <c r="F65" s="162">
        <f t="shared" si="4"/>
        <v>3.5333333333333363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74" t="s">
        <v>19</v>
      </c>
      <c r="B66" s="374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4" t="s">
        <v>37</v>
      </c>
      <c r="B67" s="374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4" t="s">
        <v>27</v>
      </c>
      <c r="B68" s="374"/>
      <c r="C68" s="270">
        <f>SEPTEMBRE!K47+OCTOBRE!K47+NOVEMBRE!K54+DECEMBRE!K47</f>
        <v>521.04</v>
      </c>
      <c r="D68" s="101">
        <f>SEPTEMBRE!L47+OCTOBRE!L47+NOVEMBRE!L54+DECEMBRE!L47</f>
        <v>564</v>
      </c>
      <c r="E68" s="346">
        <f t="shared" si="5"/>
        <v>42.960000000000036</v>
      </c>
      <c r="F68" s="162">
        <f t="shared" si="4"/>
        <v>1.7900000000000016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4" t="s">
        <v>34</v>
      </c>
      <c r="B69" s="374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4" t="s">
        <v>22</v>
      </c>
      <c r="B70" s="374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4" t="s">
        <v>29</v>
      </c>
      <c r="B71" s="374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4" t="s">
        <v>48</v>
      </c>
      <c r="B72" s="374"/>
      <c r="C72" s="270">
        <f>SEPTEMBRE!K51+OCTOBRE!K51+NOVEMBRE!K58+DECEMBRE!K51</f>
        <v>491.39999999999992</v>
      </c>
      <c r="D72" s="101">
        <f>SEPTEMBRE!L51+OCTOBRE!L51+NOVEMBRE!L58+DECEMBRE!L51</f>
        <v>536</v>
      </c>
      <c r="E72" s="346">
        <f t="shared" si="5"/>
        <v>44.60000000000008</v>
      </c>
      <c r="F72" s="162">
        <f t="shared" si="4"/>
        <v>1.8583333333333367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4" t="s">
        <v>44</v>
      </c>
      <c r="B73" s="374"/>
      <c r="C73" s="270">
        <f>SEPTEMBRE!K52+OCTOBRE!K52+NOVEMBRE!K59+DECEMBRE!K52</f>
        <v>546</v>
      </c>
      <c r="D73" s="101">
        <f>SEPTEMBRE!L52+OCTOBRE!L52+NOVEMBRE!L59+DECEMBRE!L52</f>
        <v>558</v>
      </c>
      <c r="E73" s="346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4" t="s">
        <v>23</v>
      </c>
      <c r="B74" s="374"/>
      <c r="C74" s="270">
        <f>SEPTEMBRE!K53+OCTOBRE!K53+NOVEMBRE!K60+DECEMBRE!K53</f>
        <v>530.4</v>
      </c>
      <c r="D74" s="101">
        <f>SEPTEMBRE!L53+OCTOBRE!L53+NOVEMBRE!L60+DECEMBRE!L53</f>
        <v>558</v>
      </c>
      <c r="E74" s="346">
        <f t="shared" si="5"/>
        <v>27.600000000000023</v>
      </c>
      <c r="F74" s="162">
        <f t="shared" si="4"/>
        <v>1.150000000000001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35.199999999999996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4" t="s">
        <v>32</v>
      </c>
      <c r="B75" s="374"/>
      <c r="C75" s="270">
        <f>SEPTEMBRE!K54+OCTOBRE!K54+NOVEMBRE!K61+DECEMBRE!K54</f>
        <v>530.4</v>
      </c>
      <c r="D75" s="101">
        <f>SEPTEMBRE!L54+OCTOBRE!L54+NOVEMBRE!L61+DECEMBRE!L54</f>
        <v>750</v>
      </c>
      <c r="E75" s="346">
        <f t="shared" si="5"/>
        <v>219.60000000000002</v>
      </c>
      <c r="F75" s="162">
        <f t="shared" si="4"/>
        <v>9.15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4" t="s">
        <v>102</v>
      </c>
      <c r="B76" s="374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5" t="s">
        <v>168</v>
      </c>
      <c r="B77" s="375"/>
      <c r="C77" s="270">
        <f>SEPTEMBRE!K56+OCTOBRE!K56+NOVEMBRE!K63+DECEMBRE!K56</f>
        <v>546</v>
      </c>
      <c r="D77" s="101">
        <f>SEPTEMBRE!L56+OCTOBRE!L56+NOVEMBRE!L63+DECEMBRE!L56</f>
        <v>628</v>
      </c>
      <c r="E77" s="346">
        <f t="shared" si="5"/>
        <v>82</v>
      </c>
      <c r="F77" s="162">
        <f t="shared" si="4"/>
        <v>3.4166666666666665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25</v>
      </c>
      <c r="K85" s="85">
        <f t="shared" si="7"/>
        <v>19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29</v>
      </c>
      <c r="K88" s="319">
        <f t="shared" si="7"/>
        <v>15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F12:K12 C6:D22 C30:D31 F6:L6 H16:K16 E9:K9 G18:J31 E11:K11 F4:L4 F10:K10 I13:K13 F8:L8 E7:L7 E16:F31 G17:K17 F14:K14 K19:K21 K23:K26 C25:D28 K28:K31 E13:G13 E15:K15 C4:D4 C5:L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2026-10-30T13:13:56Z</dcterms:modified>
  <cp:category/>
  <cp:contentStatus/>
</cp:coreProperties>
</file>