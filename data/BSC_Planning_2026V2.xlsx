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02" documentId="11_82001204A17853BD4102BB3957D4EBE5562A03D3" xr6:coauthVersionLast="47" xr6:coauthVersionMax="47" xr10:uidLastSave="{54FECC8C-F805-4D62-BFD4-845694F7B95E}"/>
  <bookViews>
    <workbookView xWindow="0" yWindow="0" windowWidth="25200" windowHeight="11865" tabRatio="500" firstSheet="9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<sst xmlns="http://schemas.openxmlformats.org/spreadsheetml/2006/main" count="4205" uniqueCount="221">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</sst>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0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4" t="s">
        <v>72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101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3" t="s">
        <v>57</v>
      </c>
      <c r="D60" s="363"/>
      <c r="E60" s="363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4" t="s">
        <v>115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4" t="s">
        <v>134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67"/>
      <c r="Q2" s="367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7" t="s">
        <v>53</v>
      </c>
      <c r="B40" s="367"/>
      <c r="C40" s="367"/>
      <c r="D40" s="367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4" t="s">
        <v>159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7" t="s">
        <v>53</v>
      </c>
      <c r="B33" s="367"/>
      <c r="C33" s="367"/>
      <c r="D33" s="367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zoomScale="111" zoomScaleNormal="111" workbookViewId="0">
      <selection sqref="A1:O3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4" t="s">
        <v>174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</row>
    <row r="2" spans="1:20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5"/>
      <c r="J2" s="5"/>
      <c r="K2" s="6"/>
      <c r="L2" s="367" t="s">
        <v>4</v>
      </c>
      <c r="M2" s="367"/>
      <c r="N2" s="367"/>
      <c r="O2" s="367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7"/>
      <c r="O40" s="367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3" t="s">
        <v>57</v>
      </c>
      <c r="D63" s="363"/>
      <c r="E63" s="363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H33" sqref="H3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189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27" t="s">
        <v>22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2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7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164</v>
      </c>
      <c r="M49" s="238">
        <f t="shared" si="2"/>
        <v>47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J6" sqref="J6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197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3" t="s">
        <v>57</v>
      </c>
      <c r="M35" s="363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F21" sqref="F21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4" t="s">
        <v>208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7" t="s">
        <v>53</v>
      </c>
      <c r="B40" s="367"/>
      <c r="C40" s="367"/>
      <c r="D40" s="367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3" t="s">
        <v>57</v>
      </c>
      <c r="M42" s="363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34" zoomScale="111" zoomScaleNormal="111" workbookViewId="0">
      <selection activeCell="J25" sqref="J25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4" t="s">
        <v>215</v>
      </c>
      <c r="B1" s="364"/>
      <c r="C1" s="364"/>
      <c r="D1" s="364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5" t="s">
        <v>1</v>
      </c>
      <c r="D2" s="365"/>
      <c r="E2" s="4" t="s">
        <v>2</v>
      </c>
      <c r="F2" s="366" t="s">
        <v>3</v>
      </c>
      <c r="G2" s="366"/>
      <c r="H2" s="5"/>
      <c r="I2" s="6"/>
      <c r="J2" s="367" t="s">
        <v>4</v>
      </c>
      <c r="K2" s="367"/>
      <c r="L2" s="367"/>
      <c r="M2" s="367"/>
      <c r="N2" s="367"/>
      <c r="O2" s="367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7" t="s">
        <v>53</v>
      </c>
      <c r="B33" s="367"/>
      <c r="C33" s="367"/>
      <c r="D33" s="367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3" t="s">
        <v>57</v>
      </c>
      <c r="M35" s="363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380</v>
      </c>
      <c r="E60" s="355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8" t="s">
        <v>31</v>
      </c>
      <c r="B61" s="368"/>
      <c r="C61" s="272">
        <f>SEPTEMBRE!K40+OCTOBRE!K40+NOVEMBRE!K47+DECEMBRE!K40</f>
        <v>511.68</v>
      </c>
      <c r="D61" s="102">
        <f>SEPTEMBRE!L40+OCTOBRE!L40+NOVEMBRE!L47+DECEMBRE!L40</f>
        <v>604</v>
      </c>
      <c r="E61" s="355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9" t="s">
        <v>20</v>
      </c>
      <c r="B65" s="369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628</v>
      </c>
      <c r="E70" s="355">
        <f t="shared" si="5"/>
        <v>43</v>
      </c>
      <c r="F70" s="163">
        <f t="shared" si="4"/>
        <v>1.7916666666666667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9" t="s">
        <v>32</v>
      </c>
      <c r="B75" s="369"/>
      <c r="C75" s="272">
        <f>SEPTEMBRE!K54+OCTOBRE!K54+NOVEMBRE!K61+DECEMBRE!K54</f>
        <v>546</v>
      </c>
      <c r="D75" s="102">
        <f>SEPTEMBRE!L54+OCTOBRE!L54+NOVEMBRE!L61+DECEMBRE!L54</f>
        <v>750</v>
      </c>
      <c r="E75" s="355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594</v>
      </c>
      <c r="E76" s="355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0" t="s">
        <v>168</v>
      </c>
      <c r="B77" s="370"/>
      <c r="C77" s="272">
        <f>SEPTEMBRE!K56+OCTOBRE!K56+NOVEMBRE!K63+DECEMBRE!K56</f>
        <v>546</v>
      </c>
      <c r="D77" s="102">
        <f>SEPTEMBRE!L56+OCTOBRE!L56+NOVEMBRE!L63+DECEMBRE!L56</f>
        <v>580</v>
      </c>
      <c r="E77" s="355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2026-09-07T07:55:28Z</dcterms:modified>
  <cp:category/>
  <cp:contentStatus/>
</cp:coreProperties>
</file>