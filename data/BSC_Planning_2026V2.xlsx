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3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77" documentId="11_82001204A17853BD4102BB3957D4EBE5562A03D3" xr6:coauthVersionLast="47" xr6:coauthVersionMax="47" xr10:uidLastSave="{69E08B03-24B9-425A-BE40-83EF7F172FC3}"/>
  <bookViews>
    <workbookView xWindow="0" yWindow="0" windowWidth="25200" windowHeight="11865" tabRatio="500" firstSheet="6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<sst xmlns="http://schemas.openxmlformats.org/spreadsheetml/2006/main" count="4201" uniqueCount="220">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</sst>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2" t="s">
        <v>0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45"/>
      <c r="Q2" s="345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5" t="s">
        <v>53</v>
      </c>
      <c r="B33" s="345"/>
      <c r="C33" s="345"/>
      <c r="D33" s="345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2" t="s">
        <v>72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45"/>
      <c r="Q2" s="345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5" t="s">
        <v>53</v>
      </c>
      <c r="B33" s="345"/>
      <c r="C33" s="345"/>
      <c r="D33" s="345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2" t="s">
        <v>89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45"/>
      <c r="Q2" s="345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5" t="s">
        <v>53</v>
      </c>
      <c r="B40" s="345"/>
      <c r="C40" s="345"/>
      <c r="D40" s="345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2" t="s">
        <v>101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45"/>
      <c r="Q2" s="345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5" t="s">
        <v>53</v>
      </c>
      <c r="B33" s="345"/>
      <c r="C33" s="345"/>
      <c r="D33" s="345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6" t="s">
        <v>57</v>
      </c>
      <c r="D60" s="346"/>
      <c r="E60" s="346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G31" sqref="G3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2" t="s">
        <v>115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45"/>
      <c r="Q2" s="345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5" t="s">
        <v>53</v>
      </c>
      <c r="B33" s="345"/>
      <c r="C33" s="345"/>
      <c r="D33" s="345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20" zoomScale="111" zoomScaleNormal="111" workbookViewId="0">
      <selection activeCell="K46" sqref="K46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2" t="s">
        <v>134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45"/>
      <c r="Q2" s="345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5" t="s">
        <v>53</v>
      </c>
      <c r="B40" s="345"/>
      <c r="C40" s="345"/>
      <c r="D40" s="345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2" t="s">
        <v>159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5" t="s">
        <v>53</v>
      </c>
      <c r="B33" s="345"/>
      <c r="C33" s="345"/>
      <c r="D33" s="345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29" zoomScale="111" zoomScaleNormal="111" workbookViewId="0">
      <selection activeCell="E60" sqref="E6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2" t="s">
        <v>174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</row>
    <row r="2" spans="1:20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5"/>
      <c r="J2" s="5"/>
      <c r="K2" s="6"/>
      <c r="L2" s="345" t="s">
        <v>4</v>
      </c>
      <c r="M2" s="345"/>
      <c r="N2" s="345"/>
      <c r="O2" s="345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31</v>
      </c>
      <c r="D29" s="33" t="s">
        <v>31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" t="s">
        <v>20</v>
      </c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5"/>
      <c r="O40" s="345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9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206</v>
      </c>
      <c r="M43" s="238">
        <f t="shared" si="2"/>
        <v>11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6</v>
      </c>
      <c r="F45" s="341">
        <f>COUNTIF($D$4:$D$38,"FONTAINE")+COUNTIF($G$4:$G$38,"FONTAINE")</f>
        <v>5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142</v>
      </c>
      <c r="M45" s="238">
        <f t="shared" si="2"/>
        <v>35.92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9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3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6" t="s">
        <v>57</v>
      </c>
      <c r="D63" s="346"/>
      <c r="E63" s="346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816</v>
      </c>
      <c r="E66" s="238">
        <f>D66-C66</f>
        <v>168.60000000000002</v>
      </c>
      <c r="F66" s="163">
        <f>E66/24</f>
        <v>7.0250000000000012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510</v>
      </c>
      <c r="E68" s="238">
        <f>D68-C68</f>
        <v>85.68</v>
      </c>
      <c r="F68" s="163">
        <f>E68/24</f>
        <v>3.5700000000000003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C24:D38 K26:K27 F38:G38 J29:K29 J25:J27 G30:K30 G31:H31 J31:K31 F32:G33 I32:K32 I33:J33 E34:G34 I34:K38 F35:G35 E36:G37 G28:I28 E25:I26 E27:F31 G27:H27 G29:H29 F11:K11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G27" sqref="G2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2" t="s">
        <v>189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6"/>
      <c r="J2" s="345" t="s">
        <v>4</v>
      </c>
      <c r="K2" s="345"/>
      <c r="L2" s="345"/>
      <c r="M2" s="345"/>
      <c r="N2" s="345"/>
      <c r="O2" s="345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39"/>
      <c r="H27" s="104" t="s">
        <v>168</v>
      </c>
      <c r="I27" s="27"/>
      <c r="J27" s="339"/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5" t="s">
        <v>53</v>
      </c>
      <c r="B33" s="345"/>
      <c r="C33" s="345"/>
      <c r="D33" s="345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6" t="s">
        <v>57</v>
      </c>
      <c r="M35" s="34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2" t="s">
        <v>196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6"/>
      <c r="J2" s="345" t="s">
        <v>4</v>
      </c>
      <c r="K2" s="345"/>
      <c r="L2" s="345"/>
      <c r="M2" s="345"/>
      <c r="N2" s="345"/>
      <c r="O2" s="345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5" t="s">
        <v>53</v>
      </c>
      <c r="B33" s="345"/>
      <c r="C33" s="345"/>
      <c r="D33" s="345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6" t="s">
        <v>57</v>
      </c>
      <c r="M35" s="346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2" t="s">
        <v>207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6"/>
      <c r="J2" s="345" t="s">
        <v>4</v>
      </c>
      <c r="K2" s="345"/>
      <c r="L2" s="345"/>
      <c r="M2" s="345"/>
      <c r="N2" s="345"/>
      <c r="O2" s="345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5" t="s">
        <v>53</v>
      </c>
      <c r="B40" s="345"/>
      <c r="C40" s="345"/>
      <c r="D40" s="345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6" t="s">
        <v>57</v>
      </c>
      <c r="M42" s="346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2" t="s">
        <v>214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3" t="s">
        <v>1</v>
      </c>
      <c r="D2" s="343"/>
      <c r="E2" s="4" t="s">
        <v>2</v>
      </c>
      <c r="F2" s="344" t="s">
        <v>3</v>
      </c>
      <c r="G2" s="344"/>
      <c r="H2" s="5"/>
      <c r="I2" s="6"/>
      <c r="J2" s="345" t="s">
        <v>4</v>
      </c>
      <c r="K2" s="345"/>
      <c r="L2" s="345"/>
      <c r="M2" s="345"/>
      <c r="N2" s="345"/>
      <c r="O2" s="345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5" t="s">
        <v>53</v>
      </c>
      <c r="B33" s="345"/>
      <c r="C33" s="345"/>
      <c r="D33" s="345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6" t="s">
        <v>57</v>
      </c>
      <c r="M35" s="34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9" t="s">
        <v>38</v>
      </c>
      <c r="B58" s="34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9" t="s">
        <v>36</v>
      </c>
      <c r="B59" s="34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9" t="s">
        <v>21</v>
      </c>
      <c r="B60" s="349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9" t="s">
        <v>31</v>
      </c>
      <c r="B61" s="34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7" t="s">
        <v>168</v>
      </c>
      <c r="B77" s="347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2026-08-20T17:11:36Z</dcterms:modified>
  <cp:category/>
  <cp:contentStatus/>
</cp:coreProperties>
</file>