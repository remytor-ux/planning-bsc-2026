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40" documentId="11_82001204A17853BD4102BB3957D4EBE5562A03D3" xr6:coauthVersionLast="47" xr6:coauthVersionMax="47" xr10:uidLastSave="{A8CF7215-89FE-8B4D-B670-93A0367B486E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<sst xmlns="http://schemas.openxmlformats.org/spreadsheetml/2006/main" count="4209" uniqueCount="223">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</sst>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E19" sqref="E1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0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4" t="s">
        <v>102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8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4" t="s">
        <v>102</v>
      </c>
      <c r="G27" s="344" t="s">
        <v>102</v>
      </c>
      <c r="H27" s="104" t="s">
        <v>168</v>
      </c>
      <c r="I27" s="27"/>
      <c r="J27" s="359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90</v>
      </c>
      <c r="M44" s="238">
        <f t="shared" si="2"/>
        <v>-3.5999999999999943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7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164</v>
      </c>
      <c r="M52" s="238">
        <f t="shared" si="2"/>
        <v>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H19:H22 I22:J23 J17:L17 F18:H18 I18:K21 G19:G20 E20:F20 C21:E21 C22:D22 F22:G25 E7:H7 E28:H29 I14 C25:D28 K22:K26 E26:J27 J28:K28 I29:K29 J5:L7 D30:K30 H17 D17:E19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G4" sqref="G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9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7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9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188</v>
      </c>
      <c r="M44" s="238">
        <f t="shared" si="2"/>
        <v>32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L5:L8 I15:L15 F15 L11:L14 C16:D18 H16:K16 E17:K17 F6:I6 F14:K14 F19:J20 F21:F24 I21 K21 J31:L31 C23:C24 G22:J22 E23:E24 G23 I23:K23 D24 H24:K24 E25:K25 H18:J18 J28:K30 C26:I31 F4:L4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0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0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0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0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0" t="s">
        <v>19</v>
      </c>
      <c r="F20" s="351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0" t="s">
        <v>19</v>
      </c>
      <c r="F22" s="351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9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9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0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2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2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3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2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2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9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9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9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5" t="s">
        <v>38</v>
      </c>
      <c r="D37" s="356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5" t="s">
        <v>36</v>
      </c>
      <c r="D38" s="356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5" t="s">
        <v>21</v>
      </c>
      <c r="D39" s="357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5" t="s">
        <v>31</v>
      </c>
      <c r="D40" s="357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8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8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8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8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8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8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8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8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8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8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8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8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8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8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1" t="s">
        <v>36</v>
      </c>
      <c r="B59" s="371"/>
      <c r="C59" s="272">
        <f>SEPTEMBRE!K38+OCTOBRE!K38+NOVEMBRE!K45+DECEMBRE!K38</f>
        <v>522.6</v>
      </c>
      <c r="D59" s="102">
        <f>SEPTEMBRE!L38+OCTOBRE!L38+NOVEMBRE!L45+DECEMBRE!L38</f>
        <v>654</v>
      </c>
      <c r="E59" s="354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358</v>
      </c>
      <c r="E60" s="354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628</v>
      </c>
      <c r="E61" s="354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422</v>
      </c>
      <c r="E62" s="354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4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4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4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4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4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4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4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616</v>
      </c>
      <c r="E70" s="354">
        <f t="shared" si="5"/>
        <v>31</v>
      </c>
      <c r="F70" s="163">
        <f t="shared" si="4"/>
        <v>1.2916666666666667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582</v>
      </c>
      <c r="E71" s="354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488</v>
      </c>
      <c r="E72" s="354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550</v>
      </c>
      <c r="E73" s="240">
        <f t="shared" si="5"/>
        <v>-89.600000000000023</v>
      </c>
      <c r="F73" s="163">
        <f t="shared" si="4"/>
        <v>-3.7333333333333343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4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4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648</v>
      </c>
      <c r="E76" s="354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9" t="s">
        <v>168</v>
      </c>
      <c r="B77" s="369"/>
      <c r="C77" s="272">
        <f>SEPTEMBRE!K56+OCTOBRE!K56+NOVEMBRE!K63+DECEMBRE!K56</f>
        <v>546</v>
      </c>
      <c r="D77" s="102">
        <f>SEPTEMBRE!L56+OCTOBRE!L56+NOVEMBRE!L63+DECEMBRE!L56</f>
        <v>616</v>
      </c>
      <c r="E77" s="354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