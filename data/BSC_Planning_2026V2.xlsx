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90" documentId="11_82001204A17853BD4102BB3957D4EBE5562A03D3" xr6:coauthVersionLast="47" xr6:coauthVersionMax="47" xr10:uidLastSave="{A470F934-E3F9-4807-A08F-23026AE393A5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<sst xmlns="http://schemas.openxmlformats.org/spreadsheetml/2006/main" count="4199" uniqueCount="220">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</sst>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9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29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2" borderId="10" xfId="0" applyFont="1" applyFill="1" applyBorder="1" applyAlignment="1"/>
    <xf numFmtId="0" fontId="12" fillId="31" borderId="1" xfId="0" applyFont="1" applyFill="1" applyBorder="1" applyAlignment="1"/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3" t="s">
        <v>134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3" t="s">
        <v>159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35" zoomScale="111" zoomScaleNormal="111" workbookViewId="0">
      <selection activeCell="B68" sqref="B68:E6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3" t="s">
        <v>174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6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6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10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220</v>
      </c>
      <c r="M43" s="238">
        <f t="shared" si="2"/>
        <v>25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5</v>
      </c>
      <c r="F45" s="341">
        <f>COUNTIF($D$4:$D$38,"FONTAINE")+COUNTIF($G$4:$G$38,"FONTAINE")</f>
        <v>4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10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54" t="s">
        <v>38</v>
      </c>
      <c r="C65" s="355">
        <f>MAI!L37+JUIN!L44+JUILLET!K37+AOUT!K42</f>
        <v>553.79999999999995</v>
      </c>
      <c r="D65" s="353">
        <f>MAI!M37+JUIN!M44+JUILLET!L37+AOUT!L42</f>
        <v>558</v>
      </c>
      <c r="E65" s="356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57" t="s">
        <v>36</v>
      </c>
      <c r="C66" s="353">
        <f>MAI!L38+JUIN!L45+JUILLET!K38+AOUT!K43</f>
        <v>647.4</v>
      </c>
      <c r="D66" s="353">
        <f>MAI!M38+JUIN!M45+JUILLET!L38+AOUT!L43</f>
        <v>830</v>
      </c>
      <c r="E66" s="352">
        <f>D66-C66</f>
        <v>182.60000000000002</v>
      </c>
      <c r="F66" s="163">
        <f>E66/24</f>
        <v>7.6083333333333343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58" t="s">
        <v>21</v>
      </c>
      <c r="C67" s="351">
        <f>MAI!L39+JUIN!L46+JUILLET!K39+AOUT!K44</f>
        <v>245.7</v>
      </c>
      <c r="D67" s="351">
        <f>MAI!M39+JUIN!M46+JUILLET!L39+AOUT!L44</f>
        <v>254</v>
      </c>
      <c r="E67" s="35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54" t="s">
        <v>31</v>
      </c>
      <c r="C68" s="353">
        <f>MAI!L40+JUIN!L47+JUILLET!K40+AOUT!K45</f>
        <v>424.32</v>
      </c>
      <c r="D68" s="353">
        <f>MAI!M40+JUIN!M47+JUILLET!L40+AOUT!L45</f>
        <v>486</v>
      </c>
      <c r="E68" s="352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52" t="s">
        <v>19</v>
      </c>
      <c r="C73" s="353">
        <f>+MAI!L45+JUIN!L52+JUILLET!K45+AOUT!K50</f>
        <v>227.76000000000002</v>
      </c>
      <c r="D73" s="353">
        <f>MAI!M45+JUIN!M52+JUILLET!L45+AOUT!L50</f>
        <v>230</v>
      </c>
      <c r="E73" s="352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50" t="s">
        <v>48</v>
      </c>
      <c r="C79" s="351">
        <f>MAI!L51+JUIN!L58+JUILLET!K51+AOUT!K56</f>
        <v>670.8</v>
      </c>
      <c r="D79" s="351">
        <f>MAI!M51+JUIN!M58+JUILLET!L51+AOUT!L56</f>
        <v>902</v>
      </c>
      <c r="E79" s="35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G27" sqref="G2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7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6"/>
      <c r="K21" s="276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338"/>
      <c r="G22" s="33" t="s">
        <v>36</v>
      </c>
      <c r="H22" s="104" t="s">
        <v>168</v>
      </c>
      <c r="I22" s="32"/>
      <c r="J22" s="338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8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39"/>
      <c r="H27" s="104" t="s">
        <v>168</v>
      </c>
      <c r="I27" s="27"/>
      <c r="J27" s="339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20" sqref="E2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196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5"/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F6:I6 F14:K14 F19:J20 F21:F24 I21 K21 J31:L31 C23:C24 G22:J22 E23:E24 G23 I23:K23 D24 H24:K24 E25:K25 H18:J18 C27:I31 J28:K30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207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311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>
      <c r="B39" s="71"/>
      <c r="F39" s="20"/>
      <c r="N39" s="57"/>
      <c r="O39" s="31"/>
    </row>
    <row r="40" spans="1:17" ht="12.75" customHeight="1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7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214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47" t="s">
        <v>38</v>
      </c>
      <c r="B58" s="347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7" t="s">
        <v>36</v>
      </c>
      <c r="B59" s="347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7" t="s">
        <v>21</v>
      </c>
      <c r="B60" s="347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7" t="s">
        <v>31</v>
      </c>
      <c r="B61" s="347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29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9" t="s">
        <v>168</v>
      </c>
      <c r="B77" s="349"/>
      <c r="C77" s="272">
        <f>SEPTEMBRE!K56+OCTOBRE!K56+NOVEMBRE!K63+DECEMBRE!K56</f>
        <v>639.6</v>
      </c>
      <c r="D77" s="102">
        <f>SEPTEMBRE!L56+OCTOBRE!L56+NOVEMBRE!L63+DECEMBRE!L56</f>
        <v>632</v>
      </c>
      <c r="E77" s="329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9</v>
      </c>
      <c r="K88" s="326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0</v>
      </c>
      <c r="K89" s="323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0</v>
      </c>
      <c r="K90" s="323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2026-08-25T14:28:50Z</dcterms:modified>
  <cp:category/>
  <cp:contentStatus/>
</cp:coreProperties>
</file>