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07" documentId="11_82001204A17853BD4102BB3957D4EBE5562A03D3" xr6:coauthVersionLast="47" xr6:coauthVersionMax="47" xr10:uidLastSave="{C47F1AE7-5DEE-4A16-A538-5B1F73CBC916}"/>
  <bookViews>
    <workbookView xWindow="0" yWindow="0" windowWidth="25200" windowHeight="11865" tabRatio="500" firstSheet="12" activeTab="9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<sst xmlns="http://schemas.openxmlformats.org/spreadsheetml/2006/main" count="4204" uniqueCount="221">
  <si>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</si>
  <si>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</si>
  <si>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</si>
  <si>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</si>
  <si>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</si>
  <si>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</si>
  <si>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</si>
  <si>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</si>
  <si>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</si>
  <si>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</si>
  <si>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</si>
  <si>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</si>
  <si>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</si>
  <si>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</si>
  <si>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</si>
  <si>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</si>
  <si>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</si>
  <si>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</si>
  <si>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</si>
  <si>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</si>
  <si>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</si>
  <si>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</si>
  <si>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</si>
  <si>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</si>
  <si>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</si>
  <si>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</si>
  <si>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</si>
  <si>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</si>
  <si>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</si>
  <si>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</si>
  <si>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</si>
  <si>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</si>
  <si>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</si>
  <si>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</si>
  <si>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</si>
  <si>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</si>
  <si>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</si>
  <si>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</si>
  <si>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</si>
  <si>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</si>
  <si>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</si>
  <si>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</si>
  <si>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</si>
  <si>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</si>
  <si>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</si>
  <si>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</si>
  <si>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</si>
  <si>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</si>
  <si>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</si>
  <si>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</si>
  <si>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</si>
  <si>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</si>
  <si>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</si>
  <si>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</si>
  <si>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</si>
  <si>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</si>
  <si>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</si>
  <si>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</si>
  <si>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</si>
  <si>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</si>
  <si>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</si>
  <si>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</si>
  <si>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</si>
  <si>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</si>
  <si>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</si>
  <si>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</si>
  <si>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</si>
  <si>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</si>
  <si>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</si>
  <si>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</si>
  <si>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</si>
  <si>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</si>
  <si>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</si>
  <si>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</si>
  <si>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</si>
  <si>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</si>
  <si>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</si>
  <si>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</si>
  <si>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</si>
  <si>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</si>
  <si>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</si>
  <si>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</si>
  <si>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</si>
  <si>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</si>
  <si>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</si>
  <si>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</si>
  <si>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</si>
  <si>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</si>
  <si>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</si>
  <si>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</si>
  <si>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</si>
  <si>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</si>
  <si>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</si>
  <si>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</si>
  <si>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</si>
  <si>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</si>
  <si>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</si>
  <si>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</si>
  <si>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</si>
  <si>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</si>
  <si>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</si>
  <si>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</si>
  <si>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</si>
  <si>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</si>
  <si>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</si>
  <si>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</si>
  <si>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</si>
  <si>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</si>
  <si>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</si>
  <si>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</si>
  <si>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</si>
  <si>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</si>
  <si>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</si>
  <si>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</si>
  <si>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</si>
  <si>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</si>
  <si>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</si>
  <si>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</si>
  <si>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</si>
  <si>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</si>
  <si>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</si>
  <si>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</si>
  <si>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</si>
  <si>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</si>
  <si>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</si>
  <si>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</si>
  <si>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</si>
  <si>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</si>
  <si>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</si>
  <si>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</si>
  <si>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</si>
  <si>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</si>
  <si>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</si>
  <si>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</si>
  <si>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</si>
  <si>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</si>
  <si>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</si>
  <si>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</si>
  <si>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</si>
  <si>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</si>
  <si>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</si>
  <si>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</si>
  <si>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</si>
  <si>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</si>
  <si>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</si>
  <si>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</si>
  <si>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</si>
  <si>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</si>
  <si>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</si>
  <si>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</si>
  <si>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</si>
  <si>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</si>
  <si>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</si>
  <si>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</si>
  <si>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</si>
  <si>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</si>
  <si>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</si>
  <si>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</si>
  <si>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</si>
  <si>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</si>
  <si>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</si>
  <si>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</si>
  <si>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</si>
  <si>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</si>
  <si>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</si>
  <si>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</si>
  <si>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</si>
  <si>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</si>
  <si>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</si>
  <si>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</si>
  <si>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</si>
  <si>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</si>
  <si>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</si>
  <si>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</si>
  <si>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</si>
  <si>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</si>
  <si>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</si>
  <si>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</si>
  <si>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</si>
  <si>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</si>
  <si>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</si>
  <si>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</si>
  <si>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</si>
  <si>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</si>
  <si>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</si>
  <si>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</si>
  <si>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</si>
  <si>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</si>
  <si>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</si>
  <si>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</si>
  <si>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</si>
  <si>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</si>
  <si>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</si>
  <si>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</si>
  <si>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</si>
  <si>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</si>
  <si>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TOUNGOU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</si>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</sst>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1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0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63" t="s">
        <v>72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0"/>
      <c r="J44" s="36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101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0" t="s">
        <v>57</v>
      </c>
      <c r="M35" s="77"/>
      <c r="N35" s="36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0"/>
      <c r="J37" s="36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6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63" t="s">
        <v>115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63</v>
      </c>
      <c r="J36" s="360" t="s">
        <v>64</v>
      </c>
      <c r="K36" s="360" t="s">
        <v>65</v>
      </c>
      <c r="L36" s="360" t="s">
        <v>66</v>
      </c>
      <c r="M36" s="77" t="s">
        <v>67</v>
      </c>
      <c r="N36" s="36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63" t="s">
        <v>134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66"/>
      <c r="Q2" s="366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66" t="s">
        <v>53</v>
      </c>
      <c r="B40" s="366"/>
      <c r="C40" s="366"/>
      <c r="D40" s="366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0" t="s">
        <v>57</v>
      </c>
      <c r="M42" s="77"/>
      <c r="N42" s="36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63</v>
      </c>
      <c r="J43" s="360" t="s">
        <v>64</v>
      </c>
      <c r="K43" s="360" t="s">
        <v>65</v>
      </c>
      <c r="L43" s="360" t="s">
        <v>66</v>
      </c>
      <c r="M43" s="77" t="s">
        <v>67</v>
      </c>
      <c r="N43" s="36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61">
        <f>COUNTIF($C$4:$C$38,"AZZEDINE")+COUNTIF($H$4:$H$38,"AZZEDINE")+COUNTIF($I$4:$I$38,"AZZEDINE")+COUNTIF($F$4:$F$38,"AZZEDINE")+D72</f>
        <v>3</v>
      </c>
      <c r="F63" s="361">
        <f>COUNTIF($D$4:$D$38,"AZZEDINE")+COUNTIF($H$4:$H$38,"AZZEDINE")+COUNTIF($G$4:$G$38,"AZZEDINE")</f>
        <v>0</v>
      </c>
      <c r="G63" s="361">
        <f>COUNTIF($E$4:$E$38,"AZZEDINE")</f>
        <v>0</v>
      </c>
      <c r="H63" s="36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63" t="s">
        <v>159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66" t="s">
        <v>53</v>
      </c>
      <c r="B33" s="366"/>
      <c r="C33" s="366"/>
      <c r="D33" s="366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360" t="s">
        <v>67</v>
      </c>
      <c r="M36" s="36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61">
        <f>COUNTIF($C$4:$C$31,"BOULAT")+COUNTIF($F$4:$F$31,"BOULAT")+COUNTIF($I$4:$I$31,"BOULAT")+COUNTIF($K$4:$K$31,"BOULAT")</f>
        <v>4</v>
      </c>
      <c r="F37" s="361">
        <f>COUNTIF($D$4:$D$31,"BOULAT")+COUNTIF($G$4:$G$31,"BOULAT")</f>
        <v>3</v>
      </c>
      <c r="G37" s="361">
        <f>COUNTIF($E$4:$E$31,"BOULAT")</f>
        <v>0</v>
      </c>
      <c r="H37" s="161"/>
      <c r="I37" s="36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61">
        <f>COUNTIF($C$4:$C$31,"BRUGIROUX")+COUNTIF($I$4:$I$31,"BRUGIROUX")+COUNTIF($F$4:$F$31,"BRUGIROUX")+COUNTIF($K$4:$K$31,"BRUGIROUX")</f>
        <v>5</v>
      </c>
      <c r="F38" s="361">
        <f>COUNTIF($D$4:$D$31,"BRUGIROUX")+COUNTIF($G$4:$G$31,"BRUGIROUX")</f>
        <v>8</v>
      </c>
      <c r="G38" s="361">
        <f>COUNTIF($E$4:$E$31,"BRUGIROUX")</f>
        <v>1</v>
      </c>
      <c r="H38" s="161">
        <f>COUNTIF($J$4:$J$31,"BRUGIROUX")</f>
        <v>0</v>
      </c>
      <c r="I38" s="36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61">
        <f>COUNTIF($C$4:$C$31,"CAUVY")+COUNTIF($F$4:$F$31,"CAUVY")+COUNTIF($I$4:$I$31,"CAUVY")+COUNTIF($K$4:$K$31,"CAUVY")</f>
        <v>4</v>
      </c>
      <c r="F39" s="361">
        <f>COUNTIF($D$4:$D$31,"CAUVY")+COUNTIF($G$4:$G$31,"CAUVY")</f>
        <v>0</v>
      </c>
      <c r="G39" s="361">
        <f>COUNTIF($E$4:$E$31,"CAUVY")</f>
        <v>1</v>
      </c>
      <c r="H39" s="361"/>
      <c r="I39" s="36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61">
        <f>COUNTIF($C$4:$C$31,"FONTAINE")+COUNTIF($I$4:$I$31,"FONTAINE")+COUNTIF($F$4:$F$31,"FONTAINE")+COUNTIF($K$4:$K$31,"FONTAINE")</f>
        <v>3</v>
      </c>
      <c r="F40" s="361">
        <f>COUNTIF($D$4:$D$31,"FONTAINE")+COUNTIF($G$4:$G$31,"FONTAINE")</f>
        <v>2</v>
      </c>
      <c r="G40" s="361">
        <f>COUNTIF($E$4:$E$31,"FONTAINE")</f>
        <v>0</v>
      </c>
      <c r="H40" s="161"/>
      <c r="I40" s="36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61">
        <f>COUNTIF($C$4:$C$31,"KANTCHE")+COUNTIF($I$4:$I$31,"KANTCHE")+COUNTIF($F$4:$F$31,"KANTCHE")+COUNTIF($K$4:$K$31,"KANTCHE")</f>
        <v>4</v>
      </c>
      <c r="F41" s="361">
        <f>COUNTIF($D$4:$D$31,"KANTCHE")+COUNTIF($G$4:$G$31,"KANTCHE")</f>
        <v>3</v>
      </c>
      <c r="G41" s="36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61">
        <f>COUNTIF($C$4:$C$31,"ORIOLI")+COUNTIF($I$4:$I$31,"ORIOLI")+COUNTIF($F$4:$F$31,"ORIOLI")+COUNTIF($K$4:$K$31,"ORIOLI")</f>
        <v>5</v>
      </c>
      <c r="F42" s="361">
        <f>COUNTIF($D$4:$D$31,"ORIOLI")+COUNTIF($G$4:$G$31,"ORIOLI")</f>
        <v>5</v>
      </c>
      <c r="G42" s="36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61">
        <f>COUNTIF($C$4:$C$31,"TKATCHOUK")+COUNTIF($I$4:$I$31,"TKATCHOUK")+COUNTIF($F$4:$F$31,"TKATCHOUK")+COUNTIF($K$4:$K$31,"TKATCHOUK")</f>
        <v>0</v>
      </c>
      <c r="F43" s="361">
        <f>COUNTIF($D$4:$D$31,"TKATCHOUK")+COUNTIF($G$4:$G$31,"TKATCHOUK")</f>
        <v>0</v>
      </c>
      <c r="G43" s="36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61">
        <f>COUNTIF($C$4:$C$31,"TORREGROSSA")+COUNTIF($I$4:$I$31,"TORREGROSSA")+COUNTIF($F$4:$F$31,"TORREGROSSA")+COUNTIF($K$4:$K$31,"TORREGROSSA")</f>
        <v>4</v>
      </c>
      <c r="F44" s="361">
        <f>COUNTIF($D$4:$D$31,"TORREGROSSA")+COUNTIF($G$4:$G$31,"TORREGROSSA")</f>
        <v>4</v>
      </c>
      <c r="G44" s="361">
        <f>COUNTIF($E$4:$E$31,"TORREGROSSA")</f>
        <v>0</v>
      </c>
      <c r="H44" s="36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61">
        <f>COUNTIF($C$4:$C$31,"BALLOT")+COUNTIF($F$4:$F$31,"BALLOT")+COUNTIF($I$4:$I$31,"BALLOT")+COUNTIF($K$4:$K$31,"BALLOT")</f>
        <v>2</v>
      </c>
      <c r="F45" s="361">
        <f>COUNTIF($D$4:$D$31,"BALLOT")+COUNTIF($G$4:$G$31,"BALLOT")</f>
        <v>0</v>
      </c>
      <c r="G45" s="361">
        <f>COUNTIF($E$4:$E$31,"BALLOT")</f>
        <v>3</v>
      </c>
      <c r="H45" s="36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61">
        <f>COUNTIF($C$4:$C$31,"MOREL")+COUNTIF($I$4:$I$31,"MOREL")+COUNTIF($F$4:$F$31,"MOREL")+COUNTIF($K$4:$K$31,"MOREL")</f>
        <v>5</v>
      </c>
      <c r="F46" s="361">
        <f>COUNTIF($D$4:$D$31,"MOREL")+COUNTIF($G$4:$G$31,"MOREL")</f>
        <v>0</v>
      </c>
      <c r="G46" s="361">
        <f>COUNTIF($E$4:$E$31,"MOREL")</f>
        <v>0</v>
      </c>
      <c r="H46" s="36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61">
        <f>COUNTIF($C$4:$C$31,"RACHIDI")+COUNTIF($I$4:$I$31,"RACHIDI")+COUNTIF($F$4:$F$31,"RACHIDI")+COUNTIF($K$4:$K$31,"RACHIDI")</f>
        <v>1</v>
      </c>
      <c r="F47" s="361">
        <f>COUNTIF($D$4:$D$31,"RACHIDI")+COUNTIF($G$4:$G$31,"RACHIDI")</f>
        <v>1</v>
      </c>
      <c r="G47" s="361">
        <f>COUNTIF($E$4:$E$31,"RACHIDI")</f>
        <v>0</v>
      </c>
      <c r="H47" s="36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61">
        <f>COUNTIF($C$4:$C$31,"ZEBICHE")+COUNTIF($F$4:$F$31,"ZEBICHE")+COUNTIF($I$4:$I$31,"ZEBICHE")+COUNTIF($K$4:$K$31,"ZEBICHE")</f>
        <v>9</v>
      </c>
      <c r="F48" s="361">
        <f>COUNTIF($D$4:$D$31,"ZEBICHE")+COUNTIF($G$4:$G$31,"ZEBICHE")</f>
        <v>9</v>
      </c>
      <c r="G48" s="361">
        <f>COUNTIF($E$4:$E$31,"ZEBICHE")</f>
        <v>0</v>
      </c>
      <c r="H48" s="36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61">
        <f>COUNTIF($C$4:$C$31,"HACHIMI")+COUNTIF($F$4:$F$31,"HACHIMI")+COUNTIF($H$4:$H$31,"HACHIMI")+COUNTIF($I$4:$I$31,"HACHIMI")+D58+COUNTIF($K$4:$K$31,"HACHIMI")</f>
        <v>8</v>
      </c>
      <c r="F49" s="361">
        <f>COUNTIF($D$4:$D$31,"HACHIMI")+COUNTIF($H$4:$H$31,"HACHIMI")+COUNTIF($G$4:$G$31,"HACHIMI")</f>
        <v>7</v>
      </c>
      <c r="G49" s="361">
        <f>COUNTIF($E$4:$E$31,"HACHIMI")</f>
        <v>2</v>
      </c>
      <c r="H49" s="36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61">
        <f>COUNTIF($C$4:$C$31,"BIENDOUX")+COUNTIF($H$4:$H$31,"BIENDOUX")+COUNTIF($I$4:$I$31,"BIENDOUX")+COUNTIF($F$4:$F$31,"BIENDOUX")+D59+COUNTIF($K$4:$K$31,"BIENDOUX")</f>
        <v>14</v>
      </c>
      <c r="F50" s="361">
        <v>4</v>
      </c>
      <c r="G50" s="361">
        <f>COUNTIF($E$4:$E$31,"BIENDOUX")</f>
        <v>0</v>
      </c>
      <c r="H50" s="36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61">
        <f>COUNTIF($C$4:$C$31,"AFZAL")+COUNTIF($H$4:$H$31,"AFZAL")+COUNTIF($I$4:$I$31,"AFZAL")+COUNTIF($F$4:$F$31,"AFZAL")+D60+COUNTIF($K$4:$K$31,"AFZAL")</f>
        <v>8</v>
      </c>
      <c r="F51" s="361">
        <v>9</v>
      </c>
      <c r="G51" s="361">
        <f>COUNTIF($E$4:$E$31,"AFZAL")</f>
        <v>1</v>
      </c>
      <c r="H51" s="36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61">
        <f>COUNTIF($C$4:$C$31,"IBRAHIM")+COUNTIF($H$4:$H$31,"IBRAHIM")+COUNTIF($I$4:$I$31,"IBRAHIM")+COUNTIF($K$4:$K$31,"IBRAHIM")+COUNTIF($F$4:$F$31,"IBRAHIM")+D61</f>
        <v>8</v>
      </c>
      <c r="F52" s="361">
        <v>6</v>
      </c>
      <c r="G52" s="361">
        <f>COUNTIF($E$4:$E$31,"IBRAHIM")</f>
        <v>3</v>
      </c>
      <c r="H52" s="36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61">
        <f>COUNTIF($C$4:$C$31,"IMAD")+COUNTIF($H$4:$H$31,"IMAD")+COUNTIF($I$4:$I$31,"IMAD")+COUNTIF($F$4:$F$31,"IMAD")+D62+COUNTIF($K$4:$K$31,"IMAD")</f>
        <v>6</v>
      </c>
      <c r="F53" s="361">
        <f>COUNTIF($D$4:$D$31,"IMAD")+COUNTIF($H$4:$H$31,"IMAD")+COUNTIF($G$4:$G$31,"IMAD")</f>
        <v>5</v>
      </c>
      <c r="G53" s="361">
        <f>COUNTIF($E$4:$E$31,"IMAD")</f>
        <v>1</v>
      </c>
      <c r="H53" s="36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61">
        <f>COUNTIF($C$4:$C$31,"RADO")+COUNTIF($H$4:$H$31,"RADO")+COUNTIF($I$4:$I$31,"RADO")+COUNTIF($F$4:$F$31,"RADO")+D63+COUNTIF($K$4:$K$31,"RADO")</f>
        <v>14</v>
      </c>
      <c r="F54" s="361">
        <f>COUNTIF($D$4:$D$31,"RADO")+COUNTIF($H$4:$H$31,"RADO")+COUNTIF($G$4:$G$31,"RADO")</f>
        <v>2</v>
      </c>
      <c r="G54" s="361">
        <f>COUNTIF($E$4:$E$31,"RADO")</f>
        <v>2</v>
      </c>
      <c r="H54" s="361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61">
        <f>COUNTIF($C$4:$C$31,"TODY")+COUNTIF($H$4:$H$31,"TODY")+COUNTIF($I$4:$I$31,"TODY")+COUNTIF($F$4:$F$31,"TODY")+D64+COUNTIF($K$4:$K$31,"TODY")</f>
        <v>11</v>
      </c>
      <c r="F55" s="361">
        <f>COUNTIF($D$4:$D$31,"TODY")+COUNTIF($H$4:$H$31,"TODY")+COUNTIF($G$4:$G$31,"TODY")</f>
        <v>2</v>
      </c>
      <c r="G55" s="361">
        <f>COUNTIF($E$4:$E$31,"TODY")</f>
        <v>2</v>
      </c>
      <c r="H55" s="36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61">
        <f>COUNTIF($C$4:$C$31,"RODRIGUE")+COUNTIF($H$4:$H$31,"RODRIGUE")+COUNTIF($I$4:$I$31,"RODRIGUE")+COUNTIF($F$4:$F$31,"RODRIGUE")+D65+COUNTIF($K$4:$K$31,"RODRIGUE")</f>
        <v>6</v>
      </c>
      <c r="F56" s="361">
        <f>COUNTIF($D$4:$D$31,"RODRIGUE")+COUNTIF($H$4:$H$31,"RODRIGUE")+COUNTIF($G$4:$G$31,"RODRIGUE")</f>
        <v>3</v>
      </c>
      <c r="G56" s="361">
        <f>COUNTIF($E$4:$E$31,"RODRIGUE")</f>
        <v>2</v>
      </c>
      <c r="H56" s="36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63" t="s">
        <v>174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</row>
    <row r="2" spans="1:20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5"/>
      <c r="J2" s="5"/>
      <c r="K2" s="6"/>
      <c r="L2" s="366" t="s">
        <v>4</v>
      </c>
      <c r="M2" s="366"/>
      <c r="N2" s="366"/>
      <c r="O2" s="366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6"/>
      <c r="O40" s="366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0" t="s">
        <v>64</v>
      </c>
      <c r="J41" s="360" t="s">
        <v>65</v>
      </c>
      <c r="K41" s="77" t="s">
        <v>66</v>
      </c>
      <c r="L41" s="360" t="s">
        <v>67</v>
      </c>
      <c r="M41" s="36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61">
        <f>COUNTIF($C$4:$C$38,"BOULAT")+COUNTIF($F$4:$F$38,"BOULAT")+COUNTIF($I$4:$I$38,"BOULAT")+COUNTIF($K$4:$K$38,"BOULAT")</f>
        <v>8</v>
      </c>
      <c r="F42" s="361">
        <f>COUNTIF($D$4:$D$38,"BOULAT")+COUNTIF($G$4:$G$38,"BOULAT")</f>
        <v>6</v>
      </c>
      <c r="G42" s="361">
        <f>COUNTIF($E$4:$E$38,"BOULAT")</f>
        <v>0</v>
      </c>
      <c r="H42" s="161"/>
      <c r="I42" s="36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61">
        <f>COUNTIF($C$4:$C$38,"BRUGIROUX")+COUNTIF($F$4:$F$38,"BRUGIROUX")+COUNTIF($I$4:$I$38,"BRUGIROUX")+COUNTIF($K$4:$K$38,"BRUGIROUX")</f>
        <v>7</v>
      </c>
      <c r="F43" s="361">
        <f>COUNTIF($D$4:$D$38,"BRUGIROUX")+COUNTIF($G$4:$G$38,"BRUGIROUX")</f>
        <v>10</v>
      </c>
      <c r="G43" s="361">
        <f>COUNTIF($E$4:$E$38,"BRUGIROUX")</f>
        <v>0</v>
      </c>
      <c r="H43" s="161">
        <v>1</v>
      </c>
      <c r="I43" s="361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61">
        <f>COUNTIF($C$4:$C$38,"CAUVY")+COUNTIF($F$4:$F$38,"CAUVY")+COUNTIF($I$4:$I$38,"CAUVY")+COUNTIF($K$4:$K$38,"CAUVY")</f>
        <v>2</v>
      </c>
      <c r="F44" s="361">
        <f>COUNTIF($D$4:$D$38,"CAUVY")+COUNTIF($G$4:$G$38,"CAUVY")</f>
        <v>0</v>
      </c>
      <c r="G44" s="361">
        <f>COUNTIF($E$4:$E$38,"CAUVY")</f>
        <v>1</v>
      </c>
      <c r="H44" s="361"/>
      <c r="I44" s="36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61">
        <f>COUNTIF($C$4:$C$38,"FONTAINE")+COUNTIF($F$4:$F$38,"FONTAINE")+COUNTIF($I$4:$I$38,"FONTAINE")+COUNTIF($K$4:$K$38,"FONTAINE")</f>
        <v>5</v>
      </c>
      <c r="F45" s="361">
        <f>COUNTIF($D$4:$D$38,"FONTAINE")+COUNTIF($G$4:$G$38,"FONTAINE")</f>
        <v>4</v>
      </c>
      <c r="G45" s="361">
        <f>COUNTIF($E$4:$E$38,"FONTAINE")</f>
        <v>1</v>
      </c>
      <c r="H45" s="161"/>
      <c r="I45" s="36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61">
        <f>COUNTIF($C$4:$C$38,"KANTCHE")+COUNTIF($F$4:$F$38,"KANTCHE")+COUNTIF($I$4:$I$38,"KANTCHE")+COUNTIF($K$4:$K$38,"KANTCHE")</f>
        <v>5</v>
      </c>
      <c r="F46" s="361">
        <f>COUNTIF($D$4:$D$38,"KANTCHE")+COUNTIF($G$4:$G$38,"KANTCHE")</f>
        <v>1</v>
      </c>
      <c r="G46" s="36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61">
        <f>COUNTIF($C$4:$C$38,"ORIOLI")+COUNTIF($F$4:$F$38,"ORIOLI")+COUNTIF($I$4:$I$38,"ORIOLI")+COUNTIF($K$4:$K$38,"ORIOLI")</f>
        <v>7</v>
      </c>
      <c r="F47" s="361">
        <f>COUNTIF($D$4:$D$38,"ORIOLI")+COUNTIF($G$4:$G$38,"ORIOLI")</f>
        <v>7</v>
      </c>
      <c r="G47" s="36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61">
        <f>COUNTIF($C$4:$C$38,"TKATCHOUK")+COUNTIF($F$4:$F$38,"TKATCHOUK")+COUNTIF($I$4:$I$38,"TKATCHOUK")+COUNTIF($K$4:$K$38,"TKATCHOUK")</f>
        <v>0</v>
      </c>
      <c r="F48" s="361">
        <f>COUNTIF($D$4:$D$38,"TKATCHOUK")+COUNTIF($G$4:$G$38,"TKATCHOUK")</f>
        <v>0</v>
      </c>
      <c r="G48" s="36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61">
        <f>COUNTIF($C$4:$C$38,"TORREGROSSA")+COUNTIF($F$4:$F$38,"TORREGROSSA")+COUNTIF($K$4:$K$38,"TORREGROSSA")+COUNTIF($I$4:$I$38,"TORREGROSSA")</f>
        <v>10</v>
      </c>
      <c r="F49" s="361">
        <f>COUNTIF($D$4:$D$38,"TORREGROSSA")+COUNTIF($G$4:$G$38,"TORREGROSSA")</f>
        <v>3</v>
      </c>
      <c r="G49" s="361">
        <f>COUNTIF($E$4:$E$38,"TORREGROSSA")</f>
        <v>0</v>
      </c>
      <c r="H49" s="36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61">
        <f>COUNTIF($C$4:$C$38,"BALLOT")+COUNTIF($F$4:$F$38,"BALLOT")+COUNTIF($I$4:$I$38,"BALLOT")+COUNTIF($K$4:$K$38,"BALLOT")</f>
        <v>1</v>
      </c>
      <c r="F50" s="361">
        <f>COUNTIF($D$4:$D$38,"BALLOT")+COUNTIF($G$4:$G$38,"BALLOT")</f>
        <v>0</v>
      </c>
      <c r="G50" s="361">
        <f>COUNTIF($E$4:$E$38,"BALLOT")</f>
        <v>2</v>
      </c>
      <c r="H50" s="36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61">
        <f>COUNTIF($C$4:$C$38,"MOREL")+COUNTIF($F$4:$F$38,"MOREL")+COUNTIF($I$4:$I$38,"MOREL")+COUNTIF($K$4:$K$38,"MOREL")</f>
        <v>8</v>
      </c>
      <c r="F51" s="361">
        <f>COUNTIF($D$4:$D$38,"MOREL")+COUNTIF($G$4:$G$38,"MOREL")</f>
        <v>0</v>
      </c>
      <c r="G51" s="361">
        <f>COUNTIF($E$4:$E$38,"MOREL")</f>
        <v>0</v>
      </c>
      <c r="H51" s="36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61">
        <f>COUNTIF($C$4:$C$38,"RACHIDI")+COUNTIF($F$4:$F$38,"RACHIDI")+COUNTIF($I$4:$I$38,"RACHIDI")+COUNTIF($K$4:$K$38,"RACHIDI")</f>
        <v>6</v>
      </c>
      <c r="F52" s="361">
        <f>COUNTIF($D$4:$D$38,"RACHIDI")+COUNTIF($G$4:$G$38,"RACHIDI")</f>
        <v>8</v>
      </c>
      <c r="G52" s="361">
        <f>COUNTIF($E$4:$E$38,"RACHIDI")</f>
        <v>0</v>
      </c>
      <c r="H52" s="36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61">
        <f>COUNTIF($C$4:$C$38,"ZEBICHE")+COUNTIF($F$4:$F$38,"ZEBICHE")+COUNTIF($I$4:$I$38,"ZEBICHE")+COUNTIF($K$4:$K$38,"ZEBICHE")</f>
        <v>9</v>
      </c>
      <c r="F53" s="361">
        <f>COUNTIF($D$4:$D$38,"ZEBICHE")+COUNTIF($G$4:$G$38,"ZEBICHE")</f>
        <v>9</v>
      </c>
      <c r="G53" s="361">
        <f>COUNTIF($E$4:$E$38,"ZEBICHE")</f>
        <v>0</v>
      </c>
      <c r="H53" s="36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61">
        <f>COUNTIF($C$4:$C$38,"HACHIMI")+COUNTIF($F$4:$F$38,"HACHIMI")+COUNTIF($H$4:$H$38,"HACHIMI")+COUNTIF($I$4:$I$38,"HACHIMI")+H65+COUNTIF($K$4:$K$38,"HACHIMI")</f>
        <v>5</v>
      </c>
      <c r="F54" s="361">
        <v>5</v>
      </c>
      <c r="G54" s="361">
        <f>COUNTIF($E$4:$E$38,"HACHIMI")</f>
        <v>0</v>
      </c>
      <c r="H54" s="36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61">
        <f>COUNTIF($C$4:$C$38,"BIENDOUX")+COUNTIF($F$4:$F$38,"BIENDOUX")+COUNTIF($H$4:$H$38,"BIENDOUX")+COUNTIF($I$4:$I$38,"BIENDOUX")+H66+COUNTIF($K$4:$K$38,"BIENDOUX")</f>
        <v>14</v>
      </c>
      <c r="F55" s="361">
        <v>5</v>
      </c>
      <c r="G55" s="361">
        <f>COUNTIF($E$4:$E$38,"BIENDOUX")</f>
        <v>1</v>
      </c>
      <c r="H55" s="36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1">
        <v>9</v>
      </c>
      <c r="G56" s="361">
        <f>COUNTIF($E$4:$E$38,"AFZAL")</f>
        <v>1</v>
      </c>
      <c r="H56" s="36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61">
        <v>8</v>
      </c>
      <c r="F57" s="361">
        <v>9</v>
      </c>
      <c r="G57" s="361">
        <f>COUNTIF($E$4:$E$38,"IBRAHIM")</f>
        <v>3</v>
      </c>
      <c r="H57" s="36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1">
        <f>COUNTIF($D$4:$D$38,"IMAD")+COUNTIF($H$4:$H$38,"IMAD")+COUNTIF($G$4:$G$38,"IMAD")</f>
        <v>3</v>
      </c>
      <c r="G58" s="361">
        <f>COUNTIF($E$4:$E$38,"IMAD")</f>
        <v>1</v>
      </c>
      <c r="H58" s="36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6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abSelected="1" zoomScale="111" zoomScaleNormal="111" workbookViewId="0">
      <selection activeCell="J6" sqref="J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189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27"/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196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2"/>
      <c r="K27" s="64"/>
      <c r="L27" s="276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1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110</v>
      </c>
      <c r="M44" s="238">
        <f t="shared" si="2"/>
        <v>-7</v>
      </c>
      <c r="N44" s="3"/>
    </row>
    <row r="45" spans="1:21" ht="12.75" customHeight="1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3</v>
      </c>
      <c r="J54" s="85">
        <f t="shared" si="0"/>
        <v>30.6</v>
      </c>
      <c r="K54" s="86">
        <f t="shared" si="1"/>
        <v>132.6</v>
      </c>
      <c r="L54" s="86">
        <f t="shared" si="3"/>
        <v>168</v>
      </c>
      <c r="M54" s="238">
        <f t="shared" si="2"/>
        <v>35.400000000000006</v>
      </c>
      <c r="N54" s="57"/>
    </row>
    <row r="55" spans="1:21" ht="12" customHeight="1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172</v>
      </c>
      <c r="M55" s="238">
        <f t="shared" si="2"/>
        <v>39.400000000000006</v>
      </c>
      <c r="N55" s="57"/>
    </row>
    <row r="56" spans="1:21" ht="12" customHeight="1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184</v>
      </c>
      <c r="M56" s="238">
        <f t="shared" si="2"/>
        <v>51.400000000000006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opLeftCell="A11" zoomScale="112" zoomScaleNormal="112" workbookViewId="0">
      <selection activeCell="I40" sqref="I4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197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200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201</v>
      </c>
      <c r="M4" s="30"/>
      <c r="N4" s="28" t="s">
        <v>202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201</v>
      </c>
      <c r="M5" s="34"/>
      <c r="N5" s="28" t="s">
        <v>202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203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203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203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204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204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204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204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204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196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205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206</v>
      </c>
      <c r="M25" s="30"/>
      <c r="N25" s="275" t="s">
        <v>207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206</v>
      </c>
      <c r="M26" s="30"/>
      <c r="N26" s="275" t="s">
        <v>207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206</v>
      </c>
      <c r="M27" s="30"/>
      <c r="N27" s="275" t="s">
        <v>207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206</v>
      </c>
      <c r="M28" s="30"/>
      <c r="N28" s="275" t="s">
        <v>207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206</v>
      </c>
      <c r="M29" s="30"/>
      <c r="N29" s="275" t="s">
        <v>207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196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158</v>
      </c>
      <c r="M40" s="238">
        <f t="shared" si="2"/>
        <v>56.599999999999994</v>
      </c>
    </row>
    <row r="41" spans="1:19" ht="12" customHeight="1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E13:I13 I15:L15 F15 L11:L14 C16:D18 H16:K16 E17:K17 F6:I6 F14:K14 F19:J20 F21:F24 I21 K21 J31:L31 C23:C24 G22:J22 E23:E24 G23 I23:K23 D24 H24:K24 E25:K25 H18:J18 J28:K30 C26:I3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topLeftCell="A22" zoomScale="112" zoomScaleNormal="112" workbookViewId="0">
      <selection activeCell="I47" sqref="I47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63" t="s">
        <v>208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160</v>
      </c>
      <c r="K3" s="13" t="s">
        <v>209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210</v>
      </c>
      <c r="J4" s="27" t="s">
        <v>38</v>
      </c>
      <c r="K4" s="28"/>
      <c r="L4" s="172" t="s">
        <v>211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211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211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211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211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210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210</v>
      </c>
      <c r="J11" s="24" t="s">
        <v>29</v>
      </c>
      <c r="K11" s="28"/>
      <c r="L11" s="172" t="s">
        <v>211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211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211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210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210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212</v>
      </c>
      <c r="O21" s="313"/>
      <c r="P21" s="317"/>
      <c r="Q21" s="311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196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213</v>
      </c>
      <c r="O25" s="313"/>
      <c r="P25" s="311"/>
      <c r="Q25" s="317"/>
      <c r="R25" s="3"/>
      <c r="S25" s="3"/>
      <c r="T25" s="3"/>
    </row>
    <row r="26" spans="1:24" ht="13.5" customHeight="1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213</v>
      </c>
      <c r="O26" s="313"/>
      <c r="P26" s="311"/>
      <c r="Q26" s="317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213</v>
      </c>
      <c r="O27" s="313"/>
      <c r="P27" s="311"/>
      <c r="Q27" s="317"/>
      <c r="R27" s="3"/>
      <c r="S27" s="3"/>
      <c r="T27" s="3"/>
    </row>
    <row r="28" spans="1:24" ht="12.75" customHeight="1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213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213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196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214</v>
      </c>
      <c r="O32" s="313"/>
      <c r="P32" s="311"/>
      <c r="Q32" s="317"/>
    </row>
    <row r="33" spans="1:17" ht="12.75" customHeight="1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214</v>
      </c>
      <c r="O33" s="313"/>
      <c r="P33" s="311"/>
      <c r="Q33" s="317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214</v>
      </c>
      <c r="O34" s="313"/>
      <c r="P34" s="311"/>
      <c r="Q34" s="317"/>
    </row>
    <row r="35" spans="1:17" ht="12.75" customHeight="1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214</v>
      </c>
      <c r="O35" s="313"/>
      <c r="P35" s="311"/>
      <c r="Q35" s="317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214</v>
      </c>
      <c r="O36" s="313"/>
      <c r="P36" s="311"/>
      <c r="Q36" s="317"/>
    </row>
    <row r="37" spans="1:17" ht="12.75" customHeight="1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>
      <c r="B39" s="71"/>
      <c r="F39" s="20"/>
      <c r="N39" s="57"/>
      <c r="O39" s="31"/>
    </row>
    <row r="40" spans="1:17" ht="12.75" customHeight="1">
      <c r="A40" s="366" t="s">
        <v>53</v>
      </c>
      <c r="B40" s="366"/>
      <c r="C40" s="366"/>
      <c r="D40" s="366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0" t="s">
        <v>64</v>
      </c>
      <c r="J43" s="360" t="s">
        <v>65</v>
      </c>
      <c r="K43" s="36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22" zoomScale="111" zoomScaleNormal="111" workbookViewId="0">
      <selection activeCell="I50" sqref="I50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63" t="s">
        <v>215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64" t="s">
        <v>1</v>
      </c>
      <c r="D2" s="364"/>
      <c r="E2" s="4" t="s">
        <v>2</v>
      </c>
      <c r="F2" s="365" t="s">
        <v>3</v>
      </c>
      <c r="G2" s="365"/>
      <c r="H2" s="5"/>
      <c r="I2" s="6"/>
      <c r="J2" s="366" t="s">
        <v>4</v>
      </c>
      <c r="K2" s="366"/>
      <c r="L2" s="366"/>
      <c r="M2" s="366"/>
      <c r="N2" s="366"/>
      <c r="O2" s="366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198</v>
      </c>
      <c r="J3" s="12" t="s">
        <v>199</v>
      </c>
      <c r="K3" s="13" t="s">
        <v>216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217</v>
      </c>
      <c r="M11" s="34"/>
      <c r="N11" s="34" t="s">
        <v>218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217</v>
      </c>
      <c r="M12" s="30"/>
      <c r="N12" s="34" t="s">
        <v>218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217</v>
      </c>
      <c r="M13" s="30"/>
      <c r="N13" s="34" t="s">
        <v>219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217</v>
      </c>
      <c r="M14" s="30"/>
      <c r="N14" s="34" t="s">
        <v>219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217</v>
      </c>
      <c r="M15" s="30"/>
      <c r="N15" s="34" t="s">
        <v>218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196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196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220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220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220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220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196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66" t="s">
        <v>53</v>
      </c>
      <c r="B33" s="366"/>
      <c r="C33" s="366"/>
      <c r="D33" s="366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0" t="s">
        <v>64</v>
      </c>
      <c r="J36" s="360" t="s">
        <v>65</v>
      </c>
      <c r="K36" s="36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>
      <c r="A57" s="3"/>
      <c r="B57" s="73"/>
      <c r="C57" s="268" t="s">
        <v>66</v>
      </c>
      <c r="D57" s="160" t="s">
        <v>67</v>
      </c>
      <c r="E57" s="360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380</v>
      </c>
      <c r="E60" s="355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68" t="s">
        <v>31</v>
      </c>
      <c r="B61" s="368"/>
      <c r="C61" s="272">
        <f>SEPTEMBRE!K40+OCTOBRE!K40+NOVEMBRE!K47+DECEMBRE!K40</f>
        <v>418.08</v>
      </c>
      <c r="D61" s="102">
        <f>SEPTEMBRE!L40+OCTOBRE!L40+NOVEMBRE!L47+DECEMBRE!L40</f>
        <v>604</v>
      </c>
      <c r="E61" s="355">
        <f>D61-C61</f>
        <v>185.92000000000002</v>
      </c>
      <c r="F61" s="163">
        <f t="shared" si="4"/>
        <v>7.746666666666667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69" t="s">
        <v>28</v>
      </c>
      <c r="B62" s="369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69" t="s">
        <v>42</v>
      </c>
      <c r="B63" s="369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69" t="s">
        <v>47</v>
      </c>
      <c r="B64" s="369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69" t="s">
        <v>20</v>
      </c>
      <c r="B65" s="369"/>
      <c r="C65" s="272">
        <f>SEPTEMBRE!K44+OCTOBRE!K44+NOVEMBRE!K51+DECEMBRE!K44</f>
        <v>522.6</v>
      </c>
      <c r="D65" s="102">
        <f>SEPTEMBRE!L44+OCTOBRE!L44+NOVEMBRE!L51+DECEMBRE!L44</f>
        <v>578</v>
      </c>
      <c r="E65" s="355">
        <f t="shared" si="5"/>
        <v>55.399999999999977</v>
      </c>
      <c r="F65" s="163">
        <f t="shared" si="4"/>
        <v>2.3083333333333322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69" t="s">
        <v>19</v>
      </c>
      <c r="B66" s="369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69" t="s">
        <v>37</v>
      </c>
      <c r="B67" s="369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69" t="s">
        <v>27</v>
      </c>
      <c r="B68" s="369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355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69" t="s">
        <v>34</v>
      </c>
      <c r="B69" s="369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69" t="s">
        <v>22</v>
      </c>
      <c r="B70" s="369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69" t="s">
        <v>29</v>
      </c>
      <c r="B71" s="369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69" t="s">
        <v>48</v>
      </c>
      <c r="B72" s="369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69" t="s">
        <v>44</v>
      </c>
      <c r="B73" s="369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69" t="s">
        <v>23</v>
      </c>
      <c r="B74" s="369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69" t="s">
        <v>32</v>
      </c>
      <c r="B75" s="369"/>
      <c r="C75" s="272">
        <f>SEPTEMBRE!K54+OCTOBRE!K54+NOVEMBRE!K61+DECEMBRE!K54</f>
        <v>546</v>
      </c>
      <c r="D75" s="102">
        <f>SEPTEMBRE!L54+OCTOBRE!L54+NOVEMBRE!L61+DECEMBRE!L54</f>
        <v>750</v>
      </c>
      <c r="E75" s="355">
        <f t="shared" si="5"/>
        <v>204</v>
      </c>
      <c r="F75" s="163">
        <f t="shared" si="4"/>
        <v>8.5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69" t="s">
        <v>102</v>
      </c>
      <c r="B76" s="369"/>
      <c r="C76" s="272">
        <f>SEPTEMBRE!K55+OCTOBRE!K55+NOVEMBRE!K62+DECEMBRE!K55</f>
        <v>546</v>
      </c>
      <c r="D76" s="102">
        <f>SEPTEMBRE!L55+OCTOBRE!L55+NOVEMBRE!L62+DECEMBRE!L55</f>
        <v>594</v>
      </c>
      <c r="E76" s="355">
        <f t="shared" si="5"/>
        <v>48</v>
      </c>
      <c r="F76" s="163">
        <f t="shared" si="4"/>
        <v>2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70" t="s">
        <v>168</v>
      </c>
      <c r="B77" s="370"/>
      <c r="C77" s="272">
        <f>SEPTEMBRE!K56+OCTOBRE!K56+NOVEMBRE!K63+DECEMBRE!K56</f>
        <v>546</v>
      </c>
      <c r="D77" s="102">
        <f>SEPTEMBRE!L56+OCTOBRE!L56+NOVEMBRE!L63+DECEMBRE!L56</f>
        <v>580</v>
      </c>
      <c r="E77" s="355">
        <f t="shared" si="5"/>
        <v>34</v>
      </c>
      <c r="F77" s="163">
        <f t="shared" si="4"/>
        <v>1.4166666666666667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41</v>
      </c>
      <c r="K78" s="86">
        <f t="shared" si="7"/>
        <v>3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27</v>
      </c>
      <c r="K88" s="324">
        <f t="shared" si="7"/>
        <v>17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F4:L4 E13:K13 F14:K14 F8:L8 F16:F31 H16:K16 E17:E31 G17:K17 F12:K12 K19:K21 K23:K26 C25:D28 K28:K31 G18:J31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Utilisateur invité</cp:lastModifiedBy>
  <cp:revision>0</cp:revision>
  <dcterms:created xsi:type="dcterms:W3CDTF">2016-04-19T20:05:50Z</dcterms:created>
  <dcterms:modified xsi:type="dcterms:W3CDTF">2026-09-08T08:55:37Z</dcterms:modified>
  <cp:category/>
  <cp:contentStatus/>
</cp:coreProperties>
</file>