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16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344" documentId="11_82001204A17853BD4102BB3957D4EBE5562A03D3" xr6:coauthVersionLast="47" xr6:coauthVersionMax="47" xr10:uidLastSave="{B230E2E0-20D9-4820-ABE6-515C1FCAA76A}"/>
  <bookViews>
    <workbookView xWindow="0" yWindow="0" windowWidth="25200" windowHeight="11865" tabRatio="500" firstSheet="9" activeTab="10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  <definedName name="_xlnm.Print_Area" localSheetId="8">AOUT!$A$1:$O$38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4" i="11" l="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<sst xmlns="http://schemas.openxmlformats.org/spreadsheetml/2006/main" count="4210" uniqueCount="223">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</sst>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1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6" fillId="27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7" fillId="28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8" borderId="1" xfId="0" applyFont="1" applyFill="1" applyBorder="1" applyAlignment="1">
      <alignment horizontal="center"/>
    </xf>
    <xf numFmtId="0" fontId="8" fillId="14" borderId="0" xfId="0" applyFont="1" applyFill="1"/>
    <xf numFmtId="0" fontId="29" fillId="12" borderId="1" xfId="0" applyFont="1" applyFill="1" applyBorder="1" applyAlignment="1">
      <alignment horizontal="center"/>
    </xf>
    <xf numFmtId="0" fontId="4" fillId="29" borderId="1" xfId="0" applyFont="1" applyFill="1" applyBorder="1" applyAlignment="1"/>
    <xf numFmtId="0" fontId="5" fillId="29" borderId="1" xfId="0" applyFont="1" applyFill="1" applyBorder="1" applyAlignment="1">
      <alignment horizontal="center"/>
    </xf>
    <xf numFmtId="0" fontId="4" fillId="30" borderId="1" xfId="0" applyFont="1" applyFill="1" applyBorder="1" applyAlignment="1"/>
    <xf numFmtId="0" fontId="5" fillId="30" borderId="1" xfId="0" applyFont="1" applyFill="1" applyBorder="1" applyAlignment="1">
      <alignment horizontal="center"/>
    </xf>
    <xf numFmtId="0" fontId="12" fillId="30" borderId="1" xfId="0" applyFont="1" applyFill="1" applyBorder="1" applyAlignment="1"/>
    <xf numFmtId="0" fontId="5" fillId="30" borderId="3" xfId="0" applyFont="1" applyFill="1" applyBorder="1" applyAlignment="1">
      <alignment horizontal="center"/>
    </xf>
    <xf numFmtId="0" fontId="4" fillId="30" borderId="10" xfId="0" applyFont="1" applyFill="1" applyBorder="1" applyAlignment="1"/>
    <xf numFmtId="0" fontId="12" fillId="30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3" xfId="0" applyFont="1" applyFill="1" applyBorder="1" applyAlignment="1">
      <alignment horizontal="center"/>
    </xf>
    <xf numFmtId="0" fontId="7" fillId="31" borderId="1" xfId="0" applyFont="1" applyFill="1" applyBorder="1" applyAlignment="1">
      <alignment horizontal="center"/>
    </xf>
    <xf numFmtId="0" fontId="29" fillId="31" borderId="1" xfId="0" applyFont="1" applyFill="1" applyBorder="1" applyAlignment="1">
      <alignment horizontal="center"/>
    </xf>
    <xf numFmtId="0" fontId="28" fillId="27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2" borderId="10" xfId="0" applyFont="1" applyFill="1" applyBorder="1" applyAlignment="1"/>
    <xf numFmtId="0" fontId="4" fillId="32" borderId="1" xfId="0" applyFont="1" applyFill="1" applyBorder="1" applyAlignment="1"/>
    <xf numFmtId="0" fontId="12" fillId="0" borderId="15" xfId="0" applyFont="1" applyBorder="1" applyAlignment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7" borderId="1" xfId="0" applyFont="1" applyFill="1" applyBorder="1" applyAlignment="1">
      <alignment horizontal="center" wrapText="1"/>
    </xf>
    <xf numFmtId="0" fontId="7" fillId="29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4" t="s">
        <v>0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67"/>
      <c r="Q2" s="36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67" t="s">
        <v>53</v>
      </c>
      <c r="B33" s="367"/>
      <c r="C33" s="367"/>
      <c r="D33" s="367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1" t="s">
        <v>57</v>
      </c>
      <c r="M35" s="77"/>
      <c r="N35" s="361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63</v>
      </c>
      <c r="J36" s="361" t="s">
        <v>64</v>
      </c>
      <c r="K36" s="361" t="s">
        <v>65</v>
      </c>
      <c r="L36" s="361" t="s">
        <v>66</v>
      </c>
      <c r="M36" s="77" t="s">
        <v>67</v>
      </c>
      <c r="N36" s="361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1"/>
      <c r="J37" s="361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4" t="s">
        <v>72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67"/>
      <c r="Q2" s="36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67" t="s">
        <v>53</v>
      </c>
      <c r="B33" s="367"/>
      <c r="C33" s="367"/>
      <c r="D33" s="367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1" t="s">
        <v>57</v>
      </c>
      <c r="M35" s="77"/>
      <c r="N35" s="361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63</v>
      </c>
      <c r="J36" s="361" t="s">
        <v>64</v>
      </c>
      <c r="K36" s="361" t="s">
        <v>65</v>
      </c>
      <c r="L36" s="361" t="s">
        <v>66</v>
      </c>
      <c r="M36" s="77" t="s">
        <v>67</v>
      </c>
      <c r="N36" s="361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1"/>
      <c r="J37" s="361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4" t="s">
        <v>89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67"/>
      <c r="Q2" s="36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67" t="s">
        <v>53</v>
      </c>
      <c r="B40" s="367"/>
      <c r="C40" s="367"/>
      <c r="D40" s="367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1" t="s">
        <v>57</v>
      </c>
      <c r="M42" s="77"/>
      <c r="N42" s="361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1" t="s">
        <v>63</v>
      </c>
      <c r="J43" s="361" t="s">
        <v>64</v>
      </c>
      <c r="K43" s="361" t="s">
        <v>65</v>
      </c>
      <c r="L43" s="361" t="s">
        <v>66</v>
      </c>
      <c r="M43" s="77" t="s">
        <v>67</v>
      </c>
      <c r="N43" s="361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61"/>
      <c r="J44" s="361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4" t="s">
        <v>101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67"/>
      <c r="Q2" s="36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67" t="s">
        <v>53</v>
      </c>
      <c r="B33" s="367"/>
      <c r="C33" s="367"/>
      <c r="D33" s="367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1" t="s">
        <v>57</v>
      </c>
      <c r="M35" s="77"/>
      <c r="N35" s="361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63</v>
      </c>
      <c r="J36" s="361" t="s">
        <v>64</v>
      </c>
      <c r="K36" s="361" t="s">
        <v>65</v>
      </c>
      <c r="L36" s="361" t="s">
        <v>66</v>
      </c>
      <c r="M36" s="77" t="s">
        <v>67</v>
      </c>
      <c r="N36" s="361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1"/>
      <c r="J37" s="361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63" t="s">
        <v>57</v>
      </c>
      <c r="D60" s="363"/>
      <c r="E60" s="363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61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64" t="s">
        <v>115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67"/>
      <c r="Q2" s="36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67" t="s">
        <v>53</v>
      </c>
      <c r="B33" s="367"/>
      <c r="C33" s="367"/>
      <c r="D33" s="367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1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63</v>
      </c>
      <c r="J36" s="361" t="s">
        <v>64</v>
      </c>
      <c r="K36" s="361" t="s">
        <v>65</v>
      </c>
      <c r="L36" s="361" t="s">
        <v>66</v>
      </c>
      <c r="M36" s="77" t="s">
        <v>67</v>
      </c>
      <c r="N36" s="361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64" t="s">
        <v>134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67"/>
      <c r="Q2" s="36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67" t="s">
        <v>53</v>
      </c>
      <c r="B40" s="367"/>
      <c r="C40" s="367"/>
      <c r="D40" s="367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1" t="s">
        <v>57</v>
      </c>
      <c r="M42" s="77"/>
      <c r="N42" s="361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1" t="s">
        <v>63</v>
      </c>
      <c r="J43" s="361" t="s">
        <v>64</v>
      </c>
      <c r="K43" s="361" t="s">
        <v>65</v>
      </c>
      <c r="L43" s="361" t="s">
        <v>66</v>
      </c>
      <c r="M43" s="77" t="s">
        <v>67</v>
      </c>
      <c r="N43" s="361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158</v>
      </c>
      <c r="D63" s="221">
        <v>1</v>
      </c>
      <c r="E63" s="362">
        <f>COUNTIF($C$4:$C$38,"AZZEDINE")+COUNTIF($H$4:$H$38,"AZZEDINE")+COUNTIF($I$4:$I$38,"AZZEDINE")+COUNTIF($F$4:$F$38,"AZZEDINE")+D72</f>
        <v>3</v>
      </c>
      <c r="F63" s="362">
        <f>COUNTIF($D$4:$D$38,"AZZEDINE")+COUNTIF($H$4:$H$38,"AZZEDINE")+COUNTIF($G$4:$G$38,"AZZEDINE")</f>
        <v>0</v>
      </c>
      <c r="G63" s="362">
        <f>COUNTIF($E$4:$E$38,"AZZEDINE")</f>
        <v>0</v>
      </c>
      <c r="H63" s="362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64" t="s">
        <v>159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67" t="s">
        <v>53</v>
      </c>
      <c r="B33" s="367"/>
      <c r="C33" s="367"/>
      <c r="D33" s="367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64</v>
      </c>
      <c r="J36" s="361" t="s">
        <v>65</v>
      </c>
      <c r="K36" s="361" t="s">
        <v>66</v>
      </c>
      <c r="L36" s="361" t="s">
        <v>67</v>
      </c>
      <c r="M36" s="361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62">
        <f>COUNTIF($C$4:$C$31,"BOULAT")+COUNTIF($F$4:$F$31,"BOULAT")+COUNTIF($I$4:$I$31,"BOULAT")+COUNTIF($K$4:$K$31,"BOULAT")</f>
        <v>4</v>
      </c>
      <c r="F37" s="362">
        <f>COUNTIF($D$4:$D$31,"BOULAT")+COUNTIF($G$4:$G$31,"BOULAT")</f>
        <v>3</v>
      </c>
      <c r="G37" s="362">
        <f>COUNTIF($E$4:$E$31,"BOULAT")</f>
        <v>0</v>
      </c>
      <c r="H37" s="161"/>
      <c r="I37" s="362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62">
        <f>COUNTIF($C$4:$C$31,"BRUGIROUX")+COUNTIF($I$4:$I$31,"BRUGIROUX")+COUNTIF($F$4:$F$31,"BRUGIROUX")+COUNTIF($K$4:$K$31,"BRUGIROUX")</f>
        <v>5</v>
      </c>
      <c r="F38" s="362">
        <f>COUNTIF($D$4:$D$31,"BRUGIROUX")+COUNTIF($G$4:$G$31,"BRUGIROUX")</f>
        <v>8</v>
      </c>
      <c r="G38" s="362">
        <f>COUNTIF($E$4:$E$31,"BRUGIROUX")</f>
        <v>1</v>
      </c>
      <c r="H38" s="161">
        <f>COUNTIF($J$4:$J$31,"BRUGIROUX")</f>
        <v>0</v>
      </c>
      <c r="I38" s="362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62">
        <f>COUNTIF($C$4:$C$31,"CAUVY")+COUNTIF($F$4:$F$31,"CAUVY")+COUNTIF($I$4:$I$31,"CAUVY")+COUNTIF($K$4:$K$31,"CAUVY")</f>
        <v>4</v>
      </c>
      <c r="F39" s="362">
        <f>COUNTIF($D$4:$D$31,"CAUVY")+COUNTIF($G$4:$G$31,"CAUVY")</f>
        <v>0</v>
      </c>
      <c r="G39" s="362">
        <f>COUNTIF($E$4:$E$31,"CAUVY")</f>
        <v>1</v>
      </c>
      <c r="H39" s="362"/>
      <c r="I39" s="362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62">
        <f>COUNTIF($C$4:$C$31,"FONTAINE")+COUNTIF($I$4:$I$31,"FONTAINE")+COUNTIF($F$4:$F$31,"FONTAINE")+COUNTIF($K$4:$K$31,"FONTAINE")</f>
        <v>3</v>
      </c>
      <c r="F40" s="362">
        <f>COUNTIF($D$4:$D$31,"FONTAINE")+COUNTIF($G$4:$G$31,"FONTAINE")</f>
        <v>2</v>
      </c>
      <c r="G40" s="362">
        <f>COUNTIF($E$4:$E$31,"FONTAINE")</f>
        <v>0</v>
      </c>
      <c r="H40" s="161"/>
      <c r="I40" s="362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62">
        <f>COUNTIF($C$4:$C$31,"KANTCHE")+COUNTIF($I$4:$I$31,"KANTCHE")+COUNTIF($F$4:$F$31,"KANTCHE")+COUNTIF($K$4:$K$31,"KANTCHE")</f>
        <v>4</v>
      </c>
      <c r="F41" s="362">
        <f>COUNTIF($D$4:$D$31,"KANTCHE")+COUNTIF($G$4:$G$31,"KANTCHE")</f>
        <v>3</v>
      </c>
      <c r="G41" s="362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62">
        <f>COUNTIF($C$4:$C$31,"ORIOLI")+COUNTIF($I$4:$I$31,"ORIOLI")+COUNTIF($F$4:$F$31,"ORIOLI")+COUNTIF($K$4:$K$31,"ORIOLI")</f>
        <v>5</v>
      </c>
      <c r="F42" s="362">
        <f>COUNTIF($D$4:$D$31,"ORIOLI")+COUNTIF($G$4:$G$31,"ORIOLI")</f>
        <v>5</v>
      </c>
      <c r="G42" s="362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62">
        <f>COUNTIF($C$4:$C$31,"TKATCHOUK")+COUNTIF($I$4:$I$31,"TKATCHOUK")+COUNTIF($F$4:$F$31,"TKATCHOUK")+COUNTIF($K$4:$K$31,"TKATCHOUK")</f>
        <v>0</v>
      </c>
      <c r="F43" s="362">
        <f>COUNTIF($D$4:$D$31,"TKATCHOUK")+COUNTIF($G$4:$G$31,"TKATCHOUK")</f>
        <v>0</v>
      </c>
      <c r="G43" s="362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62">
        <f>COUNTIF($C$4:$C$31,"TORREGROSSA")+COUNTIF($I$4:$I$31,"TORREGROSSA")+COUNTIF($F$4:$F$31,"TORREGROSSA")+COUNTIF($K$4:$K$31,"TORREGROSSA")</f>
        <v>4</v>
      </c>
      <c r="F44" s="362">
        <f>COUNTIF($D$4:$D$31,"TORREGROSSA")+COUNTIF($G$4:$G$31,"TORREGROSSA")</f>
        <v>4</v>
      </c>
      <c r="G44" s="362">
        <f>COUNTIF($E$4:$E$31,"TORREGROSSA")</f>
        <v>0</v>
      </c>
      <c r="H44" s="362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62">
        <f>COUNTIF($C$4:$C$31,"BALLOT")+COUNTIF($F$4:$F$31,"BALLOT")+COUNTIF($I$4:$I$31,"BALLOT")+COUNTIF($K$4:$K$31,"BALLOT")</f>
        <v>2</v>
      </c>
      <c r="F45" s="362">
        <f>COUNTIF($D$4:$D$31,"BALLOT")+COUNTIF($G$4:$G$31,"BALLOT")</f>
        <v>0</v>
      </c>
      <c r="G45" s="362">
        <f>COUNTIF($E$4:$E$31,"BALLOT")</f>
        <v>3</v>
      </c>
      <c r="H45" s="362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62">
        <f>COUNTIF($C$4:$C$31,"MOREL")+COUNTIF($I$4:$I$31,"MOREL")+COUNTIF($F$4:$F$31,"MOREL")+COUNTIF($K$4:$K$31,"MOREL")</f>
        <v>5</v>
      </c>
      <c r="F46" s="362">
        <f>COUNTIF($D$4:$D$31,"MOREL")+COUNTIF($G$4:$G$31,"MOREL")</f>
        <v>0</v>
      </c>
      <c r="G46" s="362">
        <f>COUNTIF($E$4:$E$31,"MOREL")</f>
        <v>0</v>
      </c>
      <c r="H46" s="362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62">
        <f>COUNTIF($C$4:$C$31,"RACHIDI")+COUNTIF($I$4:$I$31,"RACHIDI")+COUNTIF($F$4:$F$31,"RACHIDI")+COUNTIF($K$4:$K$31,"RACHIDI")</f>
        <v>1</v>
      </c>
      <c r="F47" s="362">
        <f>COUNTIF($D$4:$D$31,"RACHIDI")+COUNTIF($G$4:$G$31,"RACHIDI")</f>
        <v>1</v>
      </c>
      <c r="G47" s="362">
        <f>COUNTIF($E$4:$E$31,"RACHIDI")</f>
        <v>0</v>
      </c>
      <c r="H47" s="362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62">
        <f>COUNTIF($C$4:$C$31,"ZEBICHE")+COUNTIF($F$4:$F$31,"ZEBICHE")+COUNTIF($I$4:$I$31,"ZEBICHE")+COUNTIF($K$4:$K$31,"ZEBICHE")</f>
        <v>9</v>
      </c>
      <c r="F48" s="362">
        <f>COUNTIF($D$4:$D$31,"ZEBICHE")+COUNTIF($G$4:$G$31,"ZEBICHE")</f>
        <v>9</v>
      </c>
      <c r="G48" s="362">
        <f>COUNTIF($E$4:$E$31,"ZEBICHE")</f>
        <v>0</v>
      </c>
      <c r="H48" s="362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62">
        <f>COUNTIF($C$4:$C$31,"HACHIMI")+COUNTIF($F$4:$F$31,"HACHIMI")+COUNTIF($H$4:$H$31,"HACHIMI")+COUNTIF($I$4:$I$31,"HACHIMI")+D58+COUNTIF($K$4:$K$31,"HACHIMI")</f>
        <v>8</v>
      </c>
      <c r="F49" s="362">
        <f>COUNTIF($D$4:$D$31,"HACHIMI")+COUNTIF($H$4:$H$31,"HACHIMI")+COUNTIF($G$4:$G$31,"HACHIMI")</f>
        <v>7</v>
      </c>
      <c r="G49" s="362">
        <f>COUNTIF($E$4:$E$31,"HACHIMI")</f>
        <v>2</v>
      </c>
      <c r="H49" s="362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62">
        <f>COUNTIF($C$4:$C$31,"BIENDOUX")+COUNTIF($H$4:$H$31,"BIENDOUX")+COUNTIF($I$4:$I$31,"BIENDOUX")+COUNTIF($F$4:$F$31,"BIENDOUX")+D59+COUNTIF($K$4:$K$31,"BIENDOUX")</f>
        <v>14</v>
      </c>
      <c r="F50" s="362">
        <v>4</v>
      </c>
      <c r="G50" s="362">
        <f>COUNTIF($E$4:$E$31,"BIENDOUX")</f>
        <v>0</v>
      </c>
      <c r="H50" s="362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62">
        <f>COUNTIF($C$4:$C$31,"AFZAL")+COUNTIF($H$4:$H$31,"AFZAL")+COUNTIF($I$4:$I$31,"AFZAL")+COUNTIF($F$4:$F$31,"AFZAL")+D60+COUNTIF($K$4:$K$31,"AFZAL")</f>
        <v>8</v>
      </c>
      <c r="F51" s="362">
        <v>9</v>
      </c>
      <c r="G51" s="362">
        <f>COUNTIF($E$4:$E$31,"AFZAL")</f>
        <v>1</v>
      </c>
      <c r="H51" s="362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62">
        <f>COUNTIF($C$4:$C$31,"IBRAHIM")+COUNTIF($H$4:$H$31,"IBRAHIM")+COUNTIF($I$4:$I$31,"IBRAHIM")+COUNTIF($K$4:$K$31,"IBRAHIM")+COUNTIF($F$4:$F$31,"IBRAHIM")+D61</f>
        <v>8</v>
      </c>
      <c r="F52" s="362">
        <v>6</v>
      </c>
      <c r="G52" s="362">
        <f>COUNTIF($E$4:$E$31,"IBRAHIM")</f>
        <v>3</v>
      </c>
      <c r="H52" s="362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62">
        <f>COUNTIF($C$4:$C$31,"IMAD")+COUNTIF($H$4:$H$31,"IMAD")+COUNTIF($I$4:$I$31,"IMAD")+COUNTIF($F$4:$F$31,"IMAD")+D62+COUNTIF($K$4:$K$31,"IMAD")</f>
        <v>6</v>
      </c>
      <c r="F53" s="362">
        <f>COUNTIF($D$4:$D$31,"IMAD")+COUNTIF($H$4:$H$31,"IMAD")+COUNTIF($G$4:$G$31,"IMAD")</f>
        <v>5</v>
      </c>
      <c r="G53" s="362">
        <f>COUNTIF($E$4:$E$31,"IMAD")</f>
        <v>1</v>
      </c>
      <c r="H53" s="362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62">
        <f>COUNTIF($C$4:$C$31,"RADO")+COUNTIF($H$4:$H$31,"RADO")+COUNTIF($I$4:$I$31,"RADO")+COUNTIF($F$4:$F$31,"RADO")+D63+COUNTIF($K$4:$K$31,"RADO")</f>
        <v>14</v>
      </c>
      <c r="F54" s="362">
        <f>COUNTIF($D$4:$D$31,"RADO")+COUNTIF($H$4:$H$31,"RADO")+COUNTIF($G$4:$G$31,"RADO")</f>
        <v>2</v>
      </c>
      <c r="G54" s="362">
        <f>COUNTIF($E$4:$E$31,"RADO")</f>
        <v>2</v>
      </c>
      <c r="H54" s="362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62">
        <f>COUNTIF($C$4:$C$31,"TODY")+COUNTIF($H$4:$H$31,"TODY")+COUNTIF($I$4:$I$31,"TODY")+COUNTIF($F$4:$F$31,"TODY")+D64+COUNTIF($K$4:$K$31,"TODY")</f>
        <v>11</v>
      </c>
      <c r="F55" s="362">
        <f>COUNTIF($D$4:$D$31,"TODY")+COUNTIF($H$4:$H$31,"TODY")+COUNTIF($G$4:$G$31,"TODY")</f>
        <v>2</v>
      </c>
      <c r="G55" s="362">
        <f>COUNTIF($E$4:$E$31,"TODY")</f>
        <v>2</v>
      </c>
      <c r="H55" s="362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168</v>
      </c>
      <c r="D56" s="221">
        <v>1</v>
      </c>
      <c r="E56" s="362">
        <f>COUNTIF($C$4:$C$31,"RODRIGUE")+COUNTIF($H$4:$H$31,"RODRIGUE")+COUNTIF($I$4:$I$31,"RODRIGUE")+COUNTIF($F$4:$F$31,"RODRIGUE")+D65+COUNTIF($K$4:$K$31,"RODRIGUE")</f>
        <v>6</v>
      </c>
      <c r="F56" s="362">
        <f>COUNTIF($D$4:$D$31,"RODRIGUE")+COUNTIF($H$4:$H$31,"RODRIGUE")+COUNTIF($G$4:$G$31,"RODRIGUE")</f>
        <v>3</v>
      </c>
      <c r="G56" s="362">
        <f>COUNTIF($E$4:$E$31,"RODRIGUE")</f>
        <v>2</v>
      </c>
      <c r="H56" s="362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D5" zoomScale="111" zoomScaleNormal="111" workbookViewId="0">
      <selection activeCell="C28" sqref="C28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64" t="s">
        <v>174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</row>
    <row r="2" spans="1:20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6" t="s">
        <v>22</v>
      </c>
      <c r="G18" s="326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6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0" t="s">
        <v>44</v>
      </c>
      <c r="L26" s="180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330" t="s">
        <v>168</v>
      </c>
      <c r="D28" s="32" t="s">
        <v>28</v>
      </c>
      <c r="E28" s="51" t="s">
        <v>102</v>
      </c>
      <c r="F28" s="326" t="s">
        <v>22</v>
      </c>
      <c r="G28" s="326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2"/>
      <c r="K29" s="330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6" t="s">
        <v>22</v>
      </c>
      <c r="H36" s="36"/>
      <c r="I36" s="51" t="s">
        <v>102</v>
      </c>
      <c r="J36" s="52"/>
      <c r="K36" s="326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67"/>
      <c r="O40" s="367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61" t="s">
        <v>64</v>
      </c>
      <c r="J41" s="361" t="s">
        <v>65</v>
      </c>
      <c r="K41" s="77" t="s">
        <v>66</v>
      </c>
      <c r="L41" s="361" t="s">
        <v>67</v>
      </c>
      <c r="M41" s="361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62">
        <f>COUNTIF($C$4:$C$38,"BOULAT")+COUNTIF($F$4:$F$38,"BOULAT")+COUNTIF($I$4:$I$38,"BOULAT")+COUNTIF($K$4:$K$38,"BOULAT")</f>
        <v>8</v>
      </c>
      <c r="F42" s="362">
        <f>COUNTIF($D$4:$D$38,"BOULAT")+COUNTIF($G$4:$G$38,"BOULAT")</f>
        <v>6</v>
      </c>
      <c r="G42" s="362">
        <f>COUNTIF($E$4:$E$38,"BOULAT")</f>
        <v>0</v>
      </c>
      <c r="H42" s="161"/>
      <c r="I42" s="362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62">
        <f>COUNTIF($C$4:$C$38,"BRUGIROUX")+COUNTIF($F$4:$F$38,"BRUGIROUX")+COUNTIF($I$4:$I$38,"BRUGIROUX")+COUNTIF($K$4:$K$38,"BRUGIROUX")</f>
        <v>7</v>
      </c>
      <c r="F43" s="362">
        <f>COUNTIF($D$4:$D$38,"BRUGIROUX")+COUNTIF($G$4:$G$38,"BRUGIROUX")</f>
        <v>10</v>
      </c>
      <c r="G43" s="362">
        <f>COUNTIF($E$4:$E$38,"BRUGIROUX")</f>
        <v>0</v>
      </c>
      <c r="H43" s="161">
        <v>1</v>
      </c>
      <c r="I43" s="362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62">
        <f>COUNTIF($C$4:$C$38,"CAUVY")+COUNTIF($F$4:$F$38,"CAUVY")+COUNTIF($I$4:$I$38,"CAUVY")+COUNTIF($K$4:$K$38,"CAUVY")</f>
        <v>2</v>
      </c>
      <c r="F44" s="362">
        <f>COUNTIF($D$4:$D$38,"CAUVY")+COUNTIF($G$4:$G$38,"CAUVY")</f>
        <v>0</v>
      </c>
      <c r="G44" s="362">
        <f>COUNTIF($E$4:$E$38,"CAUVY")</f>
        <v>1</v>
      </c>
      <c r="H44" s="362"/>
      <c r="I44" s="362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62">
        <f>COUNTIF($C$4:$C$38,"FONTAINE")+COUNTIF($F$4:$F$38,"FONTAINE")+COUNTIF($I$4:$I$38,"FONTAINE")+COUNTIF($K$4:$K$38,"FONTAINE")</f>
        <v>5</v>
      </c>
      <c r="F45" s="362">
        <f>COUNTIF($D$4:$D$38,"FONTAINE")+COUNTIF($G$4:$G$38,"FONTAINE")</f>
        <v>4</v>
      </c>
      <c r="G45" s="362">
        <f>COUNTIF($E$4:$E$38,"FONTAINE")</f>
        <v>1</v>
      </c>
      <c r="H45" s="161"/>
      <c r="I45" s="362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62">
        <f>COUNTIF($C$4:$C$38,"KANTCHE")+COUNTIF($F$4:$F$38,"KANTCHE")+COUNTIF($I$4:$I$38,"KANTCHE")+COUNTIF($K$4:$K$38,"KANTCHE")</f>
        <v>5</v>
      </c>
      <c r="F46" s="362">
        <f>COUNTIF($D$4:$D$38,"KANTCHE")+COUNTIF($G$4:$G$38,"KANTCHE")</f>
        <v>1</v>
      </c>
      <c r="G46" s="362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62">
        <f>COUNTIF($C$4:$C$38,"ORIOLI")+COUNTIF($F$4:$F$38,"ORIOLI")+COUNTIF($I$4:$I$38,"ORIOLI")+COUNTIF($K$4:$K$38,"ORIOLI")</f>
        <v>7</v>
      </c>
      <c r="F47" s="362">
        <f>COUNTIF($D$4:$D$38,"ORIOLI")+COUNTIF($G$4:$G$38,"ORIOLI")</f>
        <v>7</v>
      </c>
      <c r="G47" s="362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62">
        <f>COUNTIF($C$4:$C$38,"TKATCHOUK")+COUNTIF($F$4:$F$38,"TKATCHOUK")+COUNTIF($I$4:$I$38,"TKATCHOUK")+COUNTIF($K$4:$K$38,"TKATCHOUK")</f>
        <v>0</v>
      </c>
      <c r="F48" s="362">
        <f>COUNTIF($D$4:$D$38,"TKATCHOUK")+COUNTIF($G$4:$G$38,"TKATCHOUK")</f>
        <v>0</v>
      </c>
      <c r="G48" s="362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62">
        <f>COUNTIF($C$4:$C$38,"TORREGROSSA")+COUNTIF($F$4:$F$38,"TORREGROSSA")+COUNTIF($K$4:$K$38,"TORREGROSSA")+COUNTIF($I$4:$I$38,"TORREGROSSA")</f>
        <v>10</v>
      </c>
      <c r="F49" s="362">
        <f>COUNTIF($D$4:$D$38,"TORREGROSSA")+COUNTIF($G$4:$G$38,"TORREGROSSA")</f>
        <v>3</v>
      </c>
      <c r="G49" s="362">
        <f>COUNTIF($E$4:$E$38,"TORREGROSSA")</f>
        <v>0</v>
      </c>
      <c r="H49" s="362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62">
        <f>COUNTIF($C$4:$C$38,"BALLOT")+COUNTIF($F$4:$F$38,"BALLOT")+COUNTIF($I$4:$I$38,"BALLOT")+COUNTIF($K$4:$K$38,"BALLOT")</f>
        <v>1</v>
      </c>
      <c r="F50" s="362">
        <f>COUNTIF($D$4:$D$38,"BALLOT")+COUNTIF($G$4:$G$38,"BALLOT")</f>
        <v>0</v>
      </c>
      <c r="G50" s="362">
        <f>COUNTIF($E$4:$E$38,"BALLOT")</f>
        <v>2</v>
      </c>
      <c r="H50" s="362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62">
        <f>COUNTIF($C$4:$C$38,"MOREL")+COUNTIF($F$4:$F$38,"MOREL")+COUNTIF($I$4:$I$38,"MOREL")+COUNTIF($K$4:$K$38,"MOREL")</f>
        <v>8</v>
      </c>
      <c r="F51" s="362">
        <f>COUNTIF($D$4:$D$38,"MOREL")+COUNTIF($G$4:$G$38,"MOREL")</f>
        <v>0</v>
      </c>
      <c r="G51" s="362">
        <f>COUNTIF($E$4:$E$38,"MOREL")</f>
        <v>0</v>
      </c>
      <c r="H51" s="362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62">
        <f>COUNTIF($C$4:$C$38,"RACHIDI")+COUNTIF($F$4:$F$38,"RACHIDI")+COUNTIF($I$4:$I$38,"RACHIDI")+COUNTIF($K$4:$K$38,"RACHIDI")</f>
        <v>6</v>
      </c>
      <c r="F52" s="362">
        <f>COUNTIF($D$4:$D$38,"RACHIDI")+COUNTIF($G$4:$G$38,"RACHIDI")</f>
        <v>8</v>
      </c>
      <c r="G52" s="362">
        <f>COUNTIF($E$4:$E$38,"RACHIDI")</f>
        <v>0</v>
      </c>
      <c r="H52" s="362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62">
        <f>COUNTIF($C$4:$C$38,"ZEBICHE")+COUNTIF($F$4:$F$38,"ZEBICHE")+COUNTIF($I$4:$I$38,"ZEBICHE")+COUNTIF($K$4:$K$38,"ZEBICHE")</f>
        <v>9</v>
      </c>
      <c r="F53" s="362">
        <f>COUNTIF($D$4:$D$38,"ZEBICHE")+COUNTIF($G$4:$G$38,"ZEBICHE")</f>
        <v>9</v>
      </c>
      <c r="G53" s="362">
        <f>COUNTIF($E$4:$E$38,"ZEBICHE")</f>
        <v>0</v>
      </c>
      <c r="H53" s="362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62">
        <f>COUNTIF($C$4:$C$38,"HACHIMI")+COUNTIF($F$4:$F$38,"HACHIMI")+COUNTIF($H$4:$H$38,"HACHIMI")+COUNTIF($I$4:$I$38,"HACHIMI")+H65+COUNTIF($K$4:$K$38,"HACHIMI")</f>
        <v>5</v>
      </c>
      <c r="F54" s="362">
        <v>5</v>
      </c>
      <c r="G54" s="362">
        <f>COUNTIF($E$4:$E$38,"HACHIMI")</f>
        <v>0</v>
      </c>
      <c r="H54" s="362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62">
        <f>COUNTIF($C$4:$C$38,"BIENDOUX")+COUNTIF($F$4:$F$38,"BIENDOUX")+COUNTIF($H$4:$H$38,"BIENDOUX")+COUNTIF($I$4:$I$38,"BIENDOUX")+H66+COUNTIF($K$4:$K$38,"BIENDOUX")</f>
        <v>14</v>
      </c>
      <c r="F55" s="362">
        <v>5</v>
      </c>
      <c r="G55" s="362">
        <f>COUNTIF($E$4:$E$38,"BIENDOUX")</f>
        <v>1</v>
      </c>
      <c r="H55" s="362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62">
        <v>9</v>
      </c>
      <c r="G56" s="362">
        <f>COUNTIF($E$4:$E$38,"AFZAL")</f>
        <v>1</v>
      </c>
      <c r="H56" s="362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62">
        <v>8</v>
      </c>
      <c r="F57" s="362">
        <v>9</v>
      </c>
      <c r="G57" s="362">
        <f>COUNTIF($E$4:$E$38,"IBRAHIM")</f>
        <v>3</v>
      </c>
      <c r="H57" s="362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62">
        <f>COUNTIF($D$4:$D$38,"IMAD")+COUNTIF($H$4:$H$38,"IMAD")+COUNTIF($G$4:$G$38,"IMAD")</f>
        <v>3</v>
      </c>
      <c r="G58" s="362">
        <f>COUNTIF($E$4:$E$38,"IMAD")</f>
        <v>1</v>
      </c>
      <c r="H58" s="362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62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62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62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62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2">
        <f>E61*10+F61*14+G61*12+H61*10</f>
        <v>202</v>
      </c>
      <c r="M61" s="238">
        <f t="shared" si="2"/>
        <v>7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63" t="s">
        <v>57</v>
      </c>
      <c r="D63" s="363"/>
      <c r="E63" s="363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338" t="s">
        <v>38</v>
      </c>
      <c r="C65" s="339">
        <f>MAI!L37+JUIN!L44+JUILLET!K37+AOUT!K42</f>
        <v>553.79999999999995</v>
      </c>
      <c r="D65" s="337">
        <f>MAI!M37+JUIN!M44+JUILLET!L37+AOUT!L42</f>
        <v>558</v>
      </c>
      <c r="E65" s="340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341" t="s">
        <v>36</v>
      </c>
      <c r="C66" s="337">
        <f>MAI!L38+JUIN!L45+JUILLET!K38+AOUT!K43</f>
        <v>631.79999999999995</v>
      </c>
      <c r="D66" s="337">
        <f>MAI!M38+JUIN!M45+JUILLET!L38+AOUT!L43</f>
        <v>830</v>
      </c>
      <c r="E66" s="336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338" t="s">
        <v>21</v>
      </c>
      <c r="C67" s="337">
        <f>MAI!L39+JUIN!L46+JUILLET!K39+AOUT!K44</f>
        <v>245.7</v>
      </c>
      <c r="D67" s="337">
        <f>MAI!M39+JUIN!M46+JUILLET!L39+AOUT!L44</f>
        <v>254</v>
      </c>
      <c r="E67" s="336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338" t="s">
        <v>31</v>
      </c>
      <c r="C68" s="337">
        <f>MAI!L40+JUIN!L47+JUILLET!K40+AOUT!K45</f>
        <v>424.32</v>
      </c>
      <c r="D68" s="337">
        <f>MAI!M40+JUIN!M47+JUILLET!L40+AOUT!L45</f>
        <v>486</v>
      </c>
      <c r="E68" s="336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336" t="s">
        <v>28</v>
      </c>
      <c r="C69" s="337">
        <f>MAI!L41+JUIN!L48+JUILLET!K41+AOUT!K46</f>
        <v>327.60000000000002</v>
      </c>
      <c r="D69" s="337">
        <f>MAI!M41+JUIN!M48+JUILLET!L41+AOUT!L46</f>
        <v>422</v>
      </c>
      <c r="E69" s="336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336" t="s">
        <v>42</v>
      </c>
      <c r="C70" s="337">
        <f>MAI!L42+JUIN!L49+JUILLET!K42+AOUT!K47</f>
        <v>514.79999999999995</v>
      </c>
      <c r="D70" s="337">
        <f>MAI!M42+JUIN!M49+JUILLET!L42+AOUT!L47</f>
        <v>542</v>
      </c>
      <c r="E70" s="336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336" t="s">
        <v>47</v>
      </c>
      <c r="C71" s="337">
        <f>MAI!L43+JUIN!L50+JUILLET!K43+AOUT!K48</f>
        <v>319.79999999999995</v>
      </c>
      <c r="D71" s="337">
        <f>MAI!M43+JUIN!M50+JUILLET!L43+AOUT!L48</f>
        <v>348</v>
      </c>
      <c r="E71" s="336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336" t="s">
        <v>20</v>
      </c>
      <c r="C72" s="337">
        <f>MAI!L44+JUIN!L51+JUILLET!K44+AOUT!K49</f>
        <v>522.59999999999991</v>
      </c>
      <c r="D72" s="337">
        <f>MAI!M44+JUIN!M51+JUILLET!L44+AOUT!L49</f>
        <v>600</v>
      </c>
      <c r="E72" s="336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336" t="s">
        <v>19</v>
      </c>
      <c r="C73" s="337">
        <f>+MAI!L45+JUIN!L52+JUILLET!K45+AOUT!K50</f>
        <v>227.76000000000002</v>
      </c>
      <c r="D73" s="337">
        <f>MAI!M45+JUIN!M52+JUILLET!L45+AOUT!L50</f>
        <v>230</v>
      </c>
      <c r="E73" s="336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336" t="s">
        <v>37</v>
      </c>
      <c r="C74" s="337">
        <f>MAI!L46+JUIN!L53+JUILLET!K46+AOUT!K51</f>
        <v>237.12</v>
      </c>
      <c r="D74" s="337">
        <f>MAI!M46+JUIN!M53+JUILLET!L46+AOUT!L51</f>
        <v>270</v>
      </c>
      <c r="E74" s="336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336" t="s">
        <v>27</v>
      </c>
      <c r="C75" s="337">
        <f>MAI!L47+JUIN!L54+JUILLET!K47+AOUT!K52</f>
        <v>449.28</v>
      </c>
      <c r="D75" s="337">
        <f>MAI!M47+JUIN!M54+JUILLET!L47+AOUT!L52</f>
        <v>474</v>
      </c>
      <c r="E75" s="336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336" t="s">
        <v>34</v>
      </c>
      <c r="C76" s="337">
        <f>MAI!L48+JUIN!L55+JUILLET!K48+AOUT!K53</f>
        <v>592.79999999999995</v>
      </c>
      <c r="D76" s="337">
        <f>MAI!M48+JUIN!M55+JUILLET!L48+AOUT!L53</f>
        <v>682</v>
      </c>
      <c r="E76" s="336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336" t="s">
        <v>22</v>
      </c>
      <c r="C77" s="337">
        <f>MAI!L49+JUIN!L56+JUILLET!K49+AOUT!K54</f>
        <v>553.79999999999995</v>
      </c>
      <c r="D77" s="337">
        <f>MAI!M49+JUIN!M56+JUILLET!L49+AOUT!L54</f>
        <v>696</v>
      </c>
      <c r="E77" s="336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336" t="s">
        <v>29</v>
      </c>
      <c r="C78" s="337">
        <f>MAI!L50+JUIN!L57+JUILLET!K50+AOUT!K55</f>
        <v>616.20000000000005</v>
      </c>
      <c r="D78" s="337">
        <f>MAI!M50+JUIN!M57+JUILLET!L50+AOUT!L55</f>
        <v>820</v>
      </c>
      <c r="E78" s="336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336" t="s">
        <v>48</v>
      </c>
      <c r="C79" s="337">
        <f>MAI!L51+JUIN!L58+JUILLET!K51+AOUT!K56</f>
        <v>670.8</v>
      </c>
      <c r="D79" s="337">
        <f>MAI!M51+JUIN!M58+JUILLET!L51+AOUT!L56</f>
        <v>902</v>
      </c>
      <c r="E79" s="336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336" t="s">
        <v>44</v>
      </c>
      <c r="C80" s="337">
        <f>MAI!L52+JUIN!L59+JUILLET!K52+AOUT!K57</f>
        <v>592.79999999999995</v>
      </c>
      <c r="D80" s="337">
        <f>MAI!M52+JUIN!M59+JUILLET!L52+AOUT!L57</f>
        <v>688</v>
      </c>
      <c r="E80" s="336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336" t="s">
        <v>23</v>
      </c>
      <c r="C81" s="337">
        <f>MAI!L53+JUIN!L60+JUILLET!K53+AOUT!K58</f>
        <v>569.4</v>
      </c>
      <c r="D81" s="337">
        <f>MAI!M53+JUIN!M60+JUILLET!L53+AOUT!L58</f>
        <v>593</v>
      </c>
      <c r="E81" s="336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336" t="s">
        <v>32</v>
      </c>
      <c r="C82" s="337">
        <f>MAI!L54+JUIN!L61+JUILLET!K54+AOUT!K59</f>
        <v>624</v>
      </c>
      <c r="D82" s="337">
        <f>MAI!M54+JUIN!M61+JUILLET!L54+AOUT!L59</f>
        <v>780</v>
      </c>
      <c r="E82" s="336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336" t="s">
        <v>102</v>
      </c>
      <c r="C83" s="337">
        <f>MAI!L55+JUIN!L62+JUILLET!K55+AOUT!K60</f>
        <v>670.8</v>
      </c>
      <c r="D83" s="337">
        <f>MAI!M55+JUIN!M62+JUILLET!L55+AOUT!L60</f>
        <v>750</v>
      </c>
      <c r="E83" s="336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334" t="s">
        <v>168</v>
      </c>
      <c r="C84" s="335">
        <f>MAI!L56+JUILLET!K56+AOUT!K61</f>
        <v>261.89999999999998</v>
      </c>
      <c r="D84" s="335">
        <f>MAI!M56+JUILLET!L56+AOUT!L61</f>
        <v>328</v>
      </c>
      <c r="E84" s="334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opLeftCell="A28" zoomScale="111" zoomScaleNormal="111" workbookViewId="0">
      <selection activeCell="K21" sqref="K2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4" t="s">
        <v>189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6"/>
      <c r="J2" s="367" t="s">
        <v>4</v>
      </c>
      <c r="K2" s="367"/>
      <c r="L2" s="367"/>
      <c r="M2" s="367"/>
      <c r="N2" s="367"/>
      <c r="O2" s="367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7" t="s">
        <v>22</v>
      </c>
      <c r="G4" s="327" t="s">
        <v>22</v>
      </c>
      <c r="H4" s="36" t="s">
        <v>21</v>
      </c>
      <c r="I4" s="273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102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59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8" t="s">
        <v>22</v>
      </c>
      <c r="G9" s="328" t="s">
        <v>22</v>
      </c>
      <c r="H9" s="154" t="s">
        <v>21</v>
      </c>
      <c r="I9" s="129"/>
      <c r="J9" s="42"/>
      <c r="K9" s="43"/>
      <c r="L9" s="274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4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7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7" t="s">
        <v>22</v>
      </c>
      <c r="G12" s="327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104" t="s">
        <v>102</v>
      </c>
      <c r="J14" s="327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27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1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27" t="s">
        <v>22</v>
      </c>
      <c r="I18" s="119" t="s">
        <v>23</v>
      </c>
      <c r="J18" s="104" t="s">
        <v>48</v>
      </c>
      <c r="K18" s="275"/>
      <c r="L18" s="250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2" t="s">
        <v>28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343" t="s">
        <v>102</v>
      </c>
      <c r="I21" s="32"/>
      <c r="J21" s="275"/>
      <c r="K21" s="33" t="s">
        <v>20</v>
      </c>
      <c r="L21" s="250" t="s">
        <v>40</v>
      </c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27" t="s">
        <v>22</v>
      </c>
      <c r="D22" s="327" t="s">
        <v>22</v>
      </c>
      <c r="E22" s="33" t="s">
        <v>31</v>
      </c>
      <c r="F22" s="343" t="s">
        <v>102</v>
      </c>
      <c r="G22" s="33" t="s">
        <v>36</v>
      </c>
      <c r="H22" s="104" t="s">
        <v>168</v>
      </c>
      <c r="I22" s="32"/>
      <c r="J22" s="343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7" t="s">
        <v>197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3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6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58"/>
      <c r="K26" s="36"/>
      <c r="L26" s="276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343" t="s">
        <v>102</v>
      </c>
      <c r="G27" s="343" t="s">
        <v>102</v>
      </c>
      <c r="H27" s="104" t="s">
        <v>168</v>
      </c>
      <c r="I27" s="27"/>
      <c r="J27" s="358"/>
      <c r="K27" s="64"/>
      <c r="L27" s="276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344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6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104" t="s">
        <v>168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6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4" t="s">
        <v>29</v>
      </c>
      <c r="G30" s="104" t="s">
        <v>29</v>
      </c>
      <c r="H30" s="54" t="s">
        <v>37</v>
      </c>
      <c r="I30" s="104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67" t="s">
        <v>53</v>
      </c>
      <c r="B33" s="367"/>
      <c r="C33" s="367"/>
      <c r="D33" s="367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3" t="s">
        <v>57</v>
      </c>
      <c r="M35" s="363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64</v>
      </c>
      <c r="J36" s="361" t="s">
        <v>65</v>
      </c>
      <c r="K36" s="361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4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88</v>
      </c>
      <c r="M39" s="238">
        <f t="shared" si="2"/>
        <v>10</v>
      </c>
    </row>
    <row r="40" spans="1:21" ht="12" customHeight="1">
      <c r="A40" s="73"/>
      <c r="B40" s="73"/>
      <c r="C40" s="82" t="s">
        <v>31</v>
      </c>
      <c r="D40" s="278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132</v>
      </c>
      <c r="M40" s="238">
        <f t="shared" si="2"/>
        <v>30.599999999999994</v>
      </c>
    </row>
    <row r="41" spans="1:21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5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114</v>
      </c>
      <c r="M41" s="238">
        <f t="shared" si="2"/>
        <v>20.400000000000006</v>
      </c>
      <c r="N41" s="3"/>
    </row>
    <row r="42" spans="1:21" ht="12" customHeight="1">
      <c r="A42" s="3"/>
      <c r="B42" s="3"/>
      <c r="C42" s="86" t="s">
        <v>42</v>
      </c>
      <c r="D42" s="27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>
      <c r="A43" s="3"/>
      <c r="B43" s="3"/>
      <c r="C43" s="86" t="s">
        <v>47</v>
      </c>
      <c r="D43" s="27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>
      <c r="A44" s="3"/>
      <c r="B44" s="3"/>
      <c r="C44" s="86" t="s">
        <v>20</v>
      </c>
      <c r="D44" s="279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2</v>
      </c>
      <c r="G44" s="84">
        <f>COUNTIF($E$4:$E$31,"TORREGROSSA")</f>
        <v>1</v>
      </c>
      <c r="H44" s="84">
        <f>COUNTIF($K$4:$K$31,"TORREGROSSA")</f>
        <v>1</v>
      </c>
      <c r="I44" s="86">
        <v>8</v>
      </c>
      <c r="J44" s="85">
        <f t="shared" si="0"/>
        <v>21.6</v>
      </c>
      <c r="K44" s="86">
        <f t="shared" si="1"/>
        <v>93.6</v>
      </c>
      <c r="L44" s="86">
        <f>E44*10+F44*14+G44*12+H44*10</f>
        <v>100</v>
      </c>
      <c r="M44" s="238">
        <f t="shared" si="2"/>
        <v>6.4000000000000057</v>
      </c>
      <c r="N44" s="3"/>
    </row>
    <row r="45" spans="1:21" ht="12.75" customHeight="1">
      <c r="A45" s="3"/>
      <c r="B45" s="3"/>
      <c r="C45" s="86" t="s">
        <v>19</v>
      </c>
      <c r="D45" s="279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79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COUNTIF($C$4:$C$31,"HACHIMI")+COUNTIF($I$4:$I$31,"HACHIMI")+COUNTIF($H$4:$H$31,"HACHIMI")+COUNTIF($F$4:$F$31,"HACHIMI")+D58+COUNTIF($J$4:$J$31,"HACHIMI")</f>
        <v>7</v>
      </c>
      <c r="F49" s="84">
        <f>COUNTIF($D$4:$D$31,"HACHIMI")+COUNTIF($I$4:$I$31,"HACHIMI")+COUNTIF($G$4:$G$31,"HACHIMI")</f>
        <v>5</v>
      </c>
      <c r="G49" s="84">
        <f>COUNTIF($E$4:$E$31,"HACHIMI")</f>
        <v>1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152</v>
      </c>
      <c r="M49" s="238">
        <f t="shared" si="2"/>
        <v>35</v>
      </c>
    </row>
    <row r="50" spans="1:21" ht="12" customHeight="1">
      <c r="A50" s="3"/>
      <c r="B50" s="72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79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>
      <c r="A52" s="3"/>
      <c r="B52" s="96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7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164</v>
      </c>
      <c r="M52" s="238">
        <f t="shared" si="2"/>
        <v>8</v>
      </c>
      <c r="N52" s="57"/>
    </row>
    <row r="53" spans="1:21" ht="12" customHeight="1">
      <c r="A53" s="3"/>
      <c r="B53" s="96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160</v>
      </c>
      <c r="M53" s="238">
        <f t="shared" si="2"/>
        <v>27.400000000000006</v>
      </c>
      <c r="N53" s="57"/>
    </row>
    <row r="54" spans="1:21" ht="12" customHeight="1">
      <c r="A54" s="3"/>
      <c r="B54" s="96"/>
      <c r="C54" s="86" t="s">
        <v>32</v>
      </c>
      <c r="D54" s="279">
        <v>1</v>
      </c>
      <c r="E54" s="280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4</v>
      </c>
      <c r="J54" s="85">
        <f t="shared" si="0"/>
        <v>28.8</v>
      </c>
      <c r="K54" s="86">
        <f t="shared" si="1"/>
        <v>124.8</v>
      </c>
      <c r="L54" s="86">
        <f t="shared" si="3"/>
        <v>168</v>
      </c>
      <c r="M54" s="238">
        <f t="shared" si="2"/>
        <v>43.2</v>
      </c>
      <c r="N54" s="57"/>
    </row>
    <row r="55" spans="1:21" ht="12" customHeight="1">
      <c r="A55" s="3"/>
      <c r="B55" s="96"/>
      <c r="C55" s="86" t="s">
        <v>102</v>
      </c>
      <c r="D55" s="279">
        <v>1</v>
      </c>
      <c r="E55" s="280">
        <f>COUNTIF($C$4:$C$31,"TODY")+COUNTIF($I$4:$I$31,"TODY")+COUNTIF($H$4:$H$31,"TODY")+COUNTIF($F$4:$F$31,"TODY")+D64+COUNTIF($J$4:$J$31,"TODY")</f>
        <v>13</v>
      </c>
      <c r="F55" s="84">
        <f>COUNTIF($D$4:$D$31,"TODY")+COUNTIF($I$4:$I$31,"TODY")+COUNTIF($G$4:$G$31,"TODY")</f>
        <v>6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226</v>
      </c>
      <c r="M55" s="238">
        <f t="shared" si="2"/>
        <v>93.4</v>
      </c>
      <c r="N55" s="57"/>
    </row>
    <row r="56" spans="1:21" ht="12" customHeight="1">
      <c r="A56" s="3"/>
      <c r="B56" s="96"/>
      <c r="C56" s="86" t="s">
        <v>168</v>
      </c>
      <c r="D56" s="279">
        <v>1</v>
      </c>
      <c r="E56" s="280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4</v>
      </c>
      <c r="G56" s="84">
        <f>COUNTIF($E$4:$E$31,"RODRIGUE")</f>
        <v>2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220</v>
      </c>
      <c r="M56" s="238">
        <f t="shared" si="2"/>
        <v>87.4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H24:J25 C12:H13 C14:C19 E14:H15 K15:L15 D16:L16 H19:H22 J17:L17 F18:H18 E26:J27 G19:G20 E20:F20 C21:E21 C22:D22 F22:G25 E7:H7 E28:H29 I14 C25:D28 D17:E19 J28:K28 I29:K29 J5:L7 D30:K30 H17 I18:J23 K18:K26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tabSelected="1" zoomScale="112" zoomScaleNormal="112" workbookViewId="0">
      <selection activeCell="K8" sqref="K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4" t="s">
        <v>199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6"/>
      <c r="J2" s="367" t="s">
        <v>4</v>
      </c>
      <c r="K2" s="367"/>
      <c r="L2" s="367"/>
      <c r="M2" s="367"/>
      <c r="N2" s="367"/>
      <c r="O2" s="367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29</v>
      </c>
      <c r="G4" s="51" t="s">
        <v>29</v>
      </c>
      <c r="H4" s="36" t="s">
        <v>21</v>
      </c>
      <c r="I4" s="119" t="s">
        <v>44</v>
      </c>
      <c r="J4" s="190" t="s">
        <v>31</v>
      </c>
      <c r="K4" s="52" t="s">
        <v>20</v>
      </c>
      <c r="L4" s="172" t="s">
        <v>203</v>
      </c>
      <c r="M4" s="30"/>
      <c r="N4" s="28" t="s">
        <v>204</v>
      </c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1" t="s">
        <v>34</v>
      </c>
      <c r="D5" s="281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2" t="s">
        <v>20</v>
      </c>
      <c r="K5" s="32"/>
      <c r="L5" s="172" t="s">
        <v>203</v>
      </c>
      <c r="M5" s="34"/>
      <c r="N5" s="28" t="s">
        <v>204</v>
      </c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205</v>
      </c>
      <c r="M6" s="172"/>
      <c r="N6" s="49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205</v>
      </c>
      <c r="M7" s="172"/>
      <c r="N7" s="49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1" t="s">
        <v>36</v>
      </c>
      <c r="D8" s="281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45" t="s">
        <v>102</v>
      </c>
      <c r="J8" s="51" t="s">
        <v>29</v>
      </c>
      <c r="K8" s="52"/>
      <c r="L8" s="172" t="s">
        <v>205</v>
      </c>
      <c r="M8" s="34"/>
      <c r="N8" s="49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5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5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206</v>
      </c>
      <c r="M11" s="36" t="s">
        <v>45</v>
      </c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206</v>
      </c>
      <c r="M12" s="36" t="s">
        <v>45</v>
      </c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190" t="s">
        <v>31</v>
      </c>
      <c r="D13" s="190" t="s">
        <v>31</v>
      </c>
      <c r="E13" s="51" t="s">
        <v>22</v>
      </c>
      <c r="F13" s="32" t="s">
        <v>37</v>
      </c>
      <c r="G13" s="281" t="s">
        <v>36</v>
      </c>
      <c r="H13" s="51" t="s">
        <v>44</v>
      </c>
      <c r="I13" s="32"/>
      <c r="J13" s="52"/>
      <c r="K13" s="32"/>
      <c r="L13" s="172" t="s">
        <v>206</v>
      </c>
      <c r="M13" s="36" t="s">
        <v>45</v>
      </c>
      <c r="N13" s="181"/>
      <c r="O13" s="314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206</v>
      </c>
      <c r="M14" s="36" t="s">
        <v>45</v>
      </c>
      <c r="N14" s="181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206</v>
      </c>
      <c r="M15" s="36" t="s">
        <v>45</v>
      </c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6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2" t="s">
        <v>38</v>
      </c>
      <c r="D17" s="282" t="s">
        <v>38</v>
      </c>
      <c r="E17" s="177" t="s">
        <v>46</v>
      </c>
      <c r="F17" s="39" t="s">
        <v>27</v>
      </c>
      <c r="G17" s="39" t="s">
        <v>27</v>
      </c>
      <c r="H17" s="348" t="s">
        <v>197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333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1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1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207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208</v>
      </c>
      <c r="M25" s="30"/>
      <c r="N25" s="275" t="s">
        <v>209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3" t="s">
        <v>26</v>
      </c>
      <c r="B26" s="22">
        <v>45957</v>
      </c>
      <c r="C26" s="281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46" t="s">
        <v>20</v>
      </c>
      <c r="K26" s="32"/>
      <c r="L26" s="30" t="s">
        <v>208</v>
      </c>
      <c r="M26" s="30"/>
      <c r="N26" s="275" t="s">
        <v>209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208</v>
      </c>
      <c r="M27" s="30"/>
      <c r="N27" s="275" t="s">
        <v>209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1" t="s">
        <v>36</v>
      </c>
      <c r="D28" s="281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208</v>
      </c>
      <c r="M28" s="30"/>
      <c r="N28" s="275" t="s">
        <v>209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1" t="s">
        <v>34</v>
      </c>
      <c r="D29" s="281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20</v>
      </c>
      <c r="K29" s="28"/>
      <c r="L29" s="30" t="s">
        <v>208</v>
      </c>
      <c r="M29" s="30"/>
      <c r="N29" s="275" t="s">
        <v>209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348" t="s">
        <v>197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4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22</v>
      </c>
      <c r="I31" s="45" t="s">
        <v>102</v>
      </c>
      <c r="J31" s="42"/>
      <c r="K31" s="43"/>
      <c r="L31" s="43"/>
      <c r="M31" s="44"/>
      <c r="N31" s="60"/>
      <c r="O31" s="285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67" t="s">
        <v>53</v>
      </c>
      <c r="B33" s="367"/>
      <c r="C33" s="367"/>
      <c r="D33" s="367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3" t="s">
        <v>57</v>
      </c>
      <c r="M35" s="363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64</v>
      </c>
      <c r="J36" s="361" t="s">
        <v>65</v>
      </c>
      <c r="K36" s="361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6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>
      <c r="A40" s="73"/>
      <c r="B40" s="73"/>
      <c r="C40" s="82" t="s">
        <v>31</v>
      </c>
      <c r="D40" s="278">
        <v>0.8</v>
      </c>
      <c r="E40" s="84">
        <f>COUNTIF($C$4:$C$31,"FONTAINE")+COUNTIF($F$4:$F$31,"FONTAINE")+COUNTIF($J$4:$J$31,"FONTAINE")+COUNTIF($H$4:$H$31,"FONTAINE")</f>
        <v>7</v>
      </c>
      <c r="F40" s="84">
        <f>COUNTIF($D$4:$D$31,"FONTAINE")+COUNTIF($G$4:$G$31,"FONTAINE")</f>
        <v>8</v>
      </c>
      <c r="G40" s="84">
        <f>COUNTIF($E$4:$E$31,"FONTAINE")</f>
        <v>0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182</v>
      </c>
      <c r="M40" s="238">
        <f t="shared" si="2"/>
        <v>80.599999999999994</v>
      </c>
    </row>
    <row r="41" spans="1:19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79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79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79">
        <v>1</v>
      </c>
      <c r="E44" s="84">
        <f>COUNTIF($C$4:$C$31,"TORREGROSSA")+COUNTIF($J$4:$J$31,"TORREGROSSA")+COUNTIF($F$4:$F$31,"TORREGROSSA")+COUNTIF($H$4:$H$31,"TORREGROSSA")</f>
        <v>10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188</v>
      </c>
      <c r="M44" s="238">
        <f t="shared" si="2"/>
        <v>32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79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79">
        <v>0.8</v>
      </c>
      <c r="E47" s="84">
        <f>COUNTIF($C$4:$C$31,"RACHIDI")+COUNTIF($F$4:$F$31,"RACHIDI")+COUNTIF($H$4:$H$31,"RACHIDI")+COUNTIF($J$4:$J$31,"RACHIDI")</f>
        <v>3</v>
      </c>
      <c r="F47" s="84">
        <f>COUNTIF($D$4:$D$31,"RACHIDI")+COUNTIF($G$4:$G$31,"RACHIDI")</f>
        <v>4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86</v>
      </c>
      <c r="M47" s="238">
        <f t="shared" si="2"/>
        <v>-7.6000000000000085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5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172</v>
      </c>
      <c r="M50" s="238">
        <f t="shared" si="2"/>
        <v>16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79">
        <v>1</v>
      </c>
      <c r="E51" s="84">
        <f>COUNTIF($C$4:$C$31,"AFZAL")+COUNTIF($I$4:$I$31,"AFZAL")+COUNTIF($H$4:$H$31,"AFZAL")+COUNTIF($F$4:$F$31,"AFZAL")+D60+COUNTIF($J$4:$J$31,"AFZAL")</f>
        <v>4</v>
      </c>
      <c r="F51" s="84">
        <f>COUNTIF($D$4:$D$31,"AFZAL")+COUNTIF($I$4:$I$31,"AFZAL")+COUNTIF($G$4:$G$31,"AFZAL")</f>
        <v>3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94</v>
      </c>
      <c r="M51" s="238">
        <f t="shared" si="2"/>
        <v>-15.200000000000003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5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79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79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168</v>
      </c>
      <c r="D56" s="279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C5:I5 C13:I13 F8:J12 C6:D6 C22:D22 M6:M7 C7:C9 E7:I7 D8:D9 E18:E21 K9:K11 M9:M17 I15:L15 F15 L11:L14 C16:D18 H16:K16 E17:K17 F6:I6 F14:K14 F19:J20 F21:F24 I21 K21 J31:L31 C23:C24 G22:J22 E23:E24 G23 I23:K23 D24 H24:K24 E25:K25 H18:J18 J28:K30 C26:I31 F4:J4 L4:L8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I47" sqref="I47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4" t="s">
        <v>210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6"/>
      <c r="J2" s="367" t="s">
        <v>4</v>
      </c>
      <c r="K2" s="367"/>
      <c r="L2" s="367"/>
      <c r="M2" s="367"/>
      <c r="N2" s="367"/>
      <c r="O2" s="367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211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7" t="s">
        <v>32</v>
      </c>
      <c r="H4" s="52" t="s">
        <v>42</v>
      </c>
      <c r="I4" s="288" t="s">
        <v>212</v>
      </c>
      <c r="J4" s="27" t="s">
        <v>38</v>
      </c>
      <c r="K4" s="28"/>
      <c r="L4" s="172" t="s">
        <v>213</v>
      </c>
      <c r="M4" s="30"/>
      <c r="N4" s="28"/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49" t="s">
        <v>19</v>
      </c>
      <c r="I5" s="63"/>
      <c r="J5" s="24" t="s">
        <v>29</v>
      </c>
      <c r="K5" s="32"/>
      <c r="L5" s="172" t="s">
        <v>213</v>
      </c>
      <c r="M5" s="34"/>
      <c r="N5" s="28"/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7" t="s">
        <v>32</v>
      </c>
      <c r="I6" s="63"/>
      <c r="J6" s="24" t="s">
        <v>29</v>
      </c>
      <c r="K6" s="36"/>
      <c r="L6" s="172" t="s">
        <v>213</v>
      </c>
      <c r="M6" s="172"/>
      <c r="N6" s="28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7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213</v>
      </c>
      <c r="M7" s="172"/>
      <c r="N7" s="28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49" t="s">
        <v>19</v>
      </c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213</v>
      </c>
      <c r="M8" s="34"/>
      <c r="N8" s="28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89" t="s">
        <v>20</v>
      </c>
      <c r="D9" s="289" t="s">
        <v>20</v>
      </c>
      <c r="E9" s="329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8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9" t="s">
        <v>34</v>
      </c>
      <c r="G10" s="289" t="s">
        <v>34</v>
      </c>
      <c r="H10" s="287" t="s">
        <v>32</v>
      </c>
      <c r="I10" s="288" t="s">
        <v>212</v>
      </c>
      <c r="J10" s="42"/>
      <c r="K10" s="43"/>
      <c r="L10" s="44"/>
      <c r="M10" s="44"/>
      <c r="N10" s="178"/>
      <c r="O10" s="318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7" t="s">
        <v>32</v>
      </c>
      <c r="D11" s="287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88" t="s">
        <v>212</v>
      </c>
      <c r="J11" s="24" t="s">
        <v>29</v>
      </c>
      <c r="K11" s="28"/>
      <c r="L11" s="172" t="s">
        <v>213</v>
      </c>
      <c r="M11" s="34"/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49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213</v>
      </c>
      <c r="M12" s="30"/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5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49" t="s">
        <v>19</v>
      </c>
      <c r="K14" s="28"/>
      <c r="L14" s="172" t="s">
        <v>213</v>
      </c>
      <c r="M14" s="30"/>
      <c r="N14" s="49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7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9" t="s">
        <v>34</v>
      </c>
      <c r="G16" s="289" t="s">
        <v>34</v>
      </c>
      <c r="H16" s="39" t="s">
        <v>21</v>
      </c>
      <c r="I16" s="39"/>
      <c r="J16" s="42"/>
      <c r="K16" s="43"/>
      <c r="L16" s="55"/>
      <c r="M16" s="55"/>
      <c r="N16" s="135"/>
      <c r="O16" s="319"/>
      <c r="P16" s="311"/>
      <c r="Q16" s="311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2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8" t="s">
        <v>212</v>
      </c>
      <c r="J17" s="42"/>
      <c r="K17" s="43"/>
      <c r="L17" s="55"/>
      <c r="M17" s="55"/>
      <c r="N17" s="135"/>
      <c r="O17" s="319"/>
      <c r="P17" s="317"/>
      <c r="Q17" s="311"/>
      <c r="R17" s="3"/>
      <c r="S17" s="3"/>
      <c r="T17" s="3"/>
    </row>
    <row r="18" spans="1:24" ht="12.75" customHeight="1">
      <c r="A18" s="21" t="s">
        <v>18</v>
      </c>
      <c r="B18" s="290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8" t="s">
        <v>212</v>
      </c>
      <c r="J18" s="24" t="s">
        <v>48</v>
      </c>
      <c r="K18" s="32"/>
      <c r="L18" s="30" t="s">
        <v>156</v>
      </c>
      <c r="M18" s="30"/>
      <c r="N18" s="28"/>
      <c r="O18" s="313"/>
      <c r="P18" s="317"/>
      <c r="Q18" s="311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3"/>
      <c r="P19" s="317"/>
      <c r="Q19" s="311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349" t="s">
        <v>19</v>
      </c>
      <c r="F20" s="350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3"/>
      <c r="P20" s="317"/>
      <c r="Q20" s="311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24" t="s">
        <v>22</v>
      </c>
      <c r="E21" s="287" t="s">
        <v>32</v>
      </c>
      <c r="F21" s="48" t="s">
        <v>21</v>
      </c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214</v>
      </c>
      <c r="O21" s="313"/>
      <c r="P21" s="317"/>
      <c r="Q21" s="311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349" t="s">
        <v>19</v>
      </c>
      <c r="F22" s="350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3"/>
      <c r="P22" s="317"/>
      <c r="Q22" s="311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9"/>
      <c r="P23" s="317"/>
      <c r="Q23" s="311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48" t="s">
        <v>197</v>
      </c>
      <c r="I24" s="291" t="s">
        <v>102</v>
      </c>
      <c r="J24" s="42"/>
      <c r="K24" s="43"/>
      <c r="L24" s="55"/>
      <c r="M24" s="55"/>
      <c r="N24" s="135"/>
      <c r="O24" s="319"/>
      <c r="P24" s="317"/>
      <c r="Q24" s="317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1" t="s">
        <v>44</v>
      </c>
      <c r="J25" s="24" t="s">
        <v>48</v>
      </c>
      <c r="K25" s="32"/>
      <c r="L25" s="30"/>
      <c r="M25" s="30"/>
      <c r="N25" s="28" t="s">
        <v>215</v>
      </c>
      <c r="O25" s="313"/>
      <c r="P25" s="311"/>
      <c r="Q25" s="317"/>
      <c r="R25" s="3"/>
      <c r="S25" s="3"/>
      <c r="T25" s="3"/>
    </row>
    <row r="26" spans="1:24" ht="13.5" customHeight="1">
      <c r="A26" s="195" t="s">
        <v>26</v>
      </c>
      <c r="B26" s="292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215</v>
      </c>
      <c r="O26" s="313"/>
      <c r="P26" s="311"/>
      <c r="Q26" s="317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215</v>
      </c>
      <c r="O27" s="313"/>
      <c r="P27" s="311"/>
      <c r="Q27" s="317"/>
      <c r="R27" s="3"/>
      <c r="S27" s="3"/>
      <c r="T27" s="3"/>
    </row>
    <row r="28" spans="1:24" ht="12.75" customHeight="1">
      <c r="A28" s="170" t="s">
        <v>33</v>
      </c>
      <c r="B28" s="293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215</v>
      </c>
      <c r="O28" s="313"/>
      <c r="P28" s="311"/>
      <c r="Q28" s="317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4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5"/>
      <c r="L29" s="180"/>
      <c r="M29" s="30"/>
      <c r="N29" s="28" t="s">
        <v>215</v>
      </c>
      <c r="O29" s="313"/>
      <c r="P29" s="311"/>
      <c r="Q29" s="317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2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19"/>
      <c r="P30" s="311"/>
      <c r="Q30" s="317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48" t="s">
        <v>197</v>
      </c>
      <c r="I31" s="291" t="s">
        <v>168</v>
      </c>
      <c r="J31" s="42"/>
      <c r="K31" s="43"/>
      <c r="L31" s="185"/>
      <c r="M31" s="44"/>
      <c r="N31" s="135"/>
      <c r="O31" s="319"/>
      <c r="P31" s="311"/>
      <c r="Q31" s="317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6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1" t="s">
        <v>102</v>
      </c>
      <c r="J32" s="27" t="s">
        <v>38</v>
      </c>
      <c r="K32" s="28"/>
      <c r="L32" s="30" t="s">
        <v>52</v>
      </c>
      <c r="M32" s="30"/>
      <c r="N32" s="28" t="s">
        <v>216</v>
      </c>
      <c r="O32" s="313"/>
      <c r="P32" s="311"/>
      <c r="Q32" s="317"/>
    </row>
    <row r="33" spans="1:17" ht="12.75" customHeight="1">
      <c r="A33" s="283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49" t="s">
        <v>19</v>
      </c>
      <c r="K33" s="32"/>
      <c r="L33" s="30" t="s">
        <v>52</v>
      </c>
      <c r="M33" s="30"/>
      <c r="N33" s="28" t="s">
        <v>216</v>
      </c>
      <c r="O33" s="313"/>
      <c r="P33" s="311"/>
      <c r="Q33" s="317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216</v>
      </c>
      <c r="O34" s="313"/>
      <c r="P34" s="311"/>
      <c r="Q34" s="317"/>
    </row>
    <row r="35" spans="1:17" ht="12.75" customHeight="1">
      <c r="A35" s="21" t="s">
        <v>33</v>
      </c>
      <c r="B35" s="22">
        <v>45994</v>
      </c>
      <c r="C35" s="297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216</v>
      </c>
      <c r="O35" s="313"/>
      <c r="P35" s="311"/>
      <c r="Q35" s="317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5"/>
      <c r="L36" s="30" t="s">
        <v>52</v>
      </c>
      <c r="M36" s="30"/>
      <c r="N36" s="28" t="s">
        <v>216</v>
      </c>
      <c r="O36" s="313"/>
      <c r="P36" s="311"/>
      <c r="Q36" s="317"/>
    </row>
    <row r="37" spans="1:17" ht="12.75" customHeight="1">
      <c r="A37" s="37" t="s">
        <v>41</v>
      </c>
      <c r="B37" s="38">
        <v>45996</v>
      </c>
      <c r="C37" s="289" t="s">
        <v>19</v>
      </c>
      <c r="D37" s="289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19"/>
      <c r="P37" s="311"/>
      <c r="Q37" s="317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1" t="s">
        <v>23</v>
      </c>
      <c r="J38" s="42"/>
      <c r="K38" s="43"/>
      <c r="L38" s="185"/>
      <c r="M38" s="44"/>
      <c r="N38" s="135"/>
      <c r="O38" s="319"/>
      <c r="P38" s="311"/>
      <c r="Q38" s="317"/>
    </row>
    <row r="39" spans="1:17" ht="12.75" customHeight="1">
      <c r="B39" s="71"/>
      <c r="F39" s="20"/>
      <c r="N39" s="57"/>
      <c r="O39" s="31"/>
    </row>
    <row r="40" spans="1:17" ht="12.75" customHeight="1">
      <c r="A40" s="367" t="s">
        <v>53</v>
      </c>
      <c r="B40" s="367"/>
      <c r="C40" s="367"/>
      <c r="D40" s="367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3" t="s">
        <v>57</v>
      </c>
      <c r="M42" s="363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1" t="s">
        <v>64</v>
      </c>
      <c r="J43" s="361" t="s">
        <v>65</v>
      </c>
      <c r="K43" s="361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8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>
      <c r="A46" s="73"/>
      <c r="B46" s="73"/>
      <c r="C46" s="82" t="s">
        <v>21</v>
      </c>
      <c r="D46" s="278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78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>
        <v>3</v>
      </c>
      <c r="J47" s="85">
        <f t="shared" si="0"/>
        <v>30.240000000000002</v>
      </c>
      <c r="K47" s="86">
        <f t="shared" si="1"/>
        <v>126.35999999999999</v>
      </c>
      <c r="L47" s="86">
        <f>E47*10+F47*14+G47*12</f>
        <v>196</v>
      </c>
      <c r="M47" s="238">
        <f t="shared" si="2"/>
        <v>69.640000000000015</v>
      </c>
    </row>
    <row r="48" spans="1:17" ht="12" customHeight="1">
      <c r="A48" s="3"/>
      <c r="B48" s="3"/>
      <c r="C48" s="86" t="s">
        <v>28</v>
      </c>
      <c r="D48" s="279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79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79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79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79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79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79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79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79">
        <v>1</v>
      </c>
      <c r="E56" s="280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79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79">
        <v>1</v>
      </c>
      <c r="E58" s="280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79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79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79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5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79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168</v>
      </c>
      <c r="D63" s="279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zoomScale="111" zoomScaleNormal="111" workbookViewId="0">
      <selection activeCell="I50" sqref="I50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4" t="s">
        <v>217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6"/>
      <c r="J2" s="367" t="s">
        <v>4</v>
      </c>
      <c r="K2" s="367"/>
      <c r="L2" s="367"/>
      <c r="M2" s="367"/>
      <c r="N2" s="367"/>
      <c r="O2" s="367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218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9" t="s">
        <v>29</v>
      </c>
      <c r="H4" s="299" t="s">
        <v>168</v>
      </c>
      <c r="I4" s="119" t="s">
        <v>44</v>
      </c>
      <c r="J4" s="299" t="s">
        <v>29</v>
      </c>
      <c r="K4" s="48" t="s">
        <v>20</v>
      </c>
      <c r="L4" s="27" t="s">
        <v>156</v>
      </c>
      <c r="M4" s="30"/>
      <c r="N4" s="275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299" t="s">
        <v>22</v>
      </c>
      <c r="D5" s="299" t="s">
        <v>22</v>
      </c>
      <c r="E5" s="299" t="s">
        <v>23</v>
      </c>
      <c r="F5" s="351" t="s">
        <v>19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9" t="s">
        <v>48</v>
      </c>
      <c r="H6" s="299" t="s">
        <v>48</v>
      </c>
      <c r="I6" s="32"/>
      <c r="J6" s="48" t="s">
        <v>31</v>
      </c>
      <c r="K6" s="36"/>
      <c r="L6" s="172" t="s">
        <v>156</v>
      </c>
      <c r="M6" s="34"/>
      <c r="N6" s="27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299" t="s">
        <v>22</v>
      </c>
      <c r="G7" s="48" t="s">
        <v>31</v>
      </c>
      <c r="H7" s="351" t="s">
        <v>19</v>
      </c>
      <c r="I7" s="300"/>
      <c r="J7" s="299" t="s">
        <v>29</v>
      </c>
      <c r="K7" s="28"/>
      <c r="L7" s="172" t="s">
        <v>156</v>
      </c>
      <c r="M7" s="34"/>
      <c r="N7" s="27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9" t="s">
        <v>102</v>
      </c>
      <c r="H8" s="299" t="s">
        <v>102</v>
      </c>
      <c r="I8" s="27"/>
      <c r="J8" s="299" t="s">
        <v>44</v>
      </c>
      <c r="K8" s="36"/>
      <c r="L8" s="172" t="s">
        <v>156</v>
      </c>
      <c r="M8" s="34"/>
      <c r="N8" s="27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19</v>
      </c>
      <c r="D9" s="58" t="s">
        <v>20</v>
      </c>
      <c r="E9" s="299" t="s">
        <v>44</v>
      </c>
      <c r="F9" s="299" t="s">
        <v>29</v>
      </c>
      <c r="G9" s="299" t="s">
        <v>29</v>
      </c>
      <c r="H9" s="301" t="s">
        <v>48</v>
      </c>
      <c r="I9" s="39"/>
      <c r="J9" s="302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360"/>
      <c r="I10" s="119" t="s">
        <v>23</v>
      </c>
      <c r="J10" s="302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9" t="s">
        <v>29</v>
      </c>
      <c r="H11" s="33" t="s">
        <v>27</v>
      </c>
      <c r="I11" s="119" t="s">
        <v>102</v>
      </c>
      <c r="J11" s="299" t="s">
        <v>29</v>
      </c>
      <c r="K11" s="28"/>
      <c r="L11" s="180" t="s">
        <v>219</v>
      </c>
      <c r="M11" s="34"/>
      <c r="N11" s="34" t="s">
        <v>220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299" t="s">
        <v>22</v>
      </c>
      <c r="G12" s="299" t="s">
        <v>28</v>
      </c>
      <c r="H12" s="299" t="s">
        <v>28</v>
      </c>
      <c r="I12" s="32"/>
      <c r="J12" s="299" t="s">
        <v>44</v>
      </c>
      <c r="K12" s="33"/>
      <c r="L12" s="180" t="s">
        <v>219</v>
      </c>
      <c r="M12" s="30"/>
      <c r="N12" s="34" t="s">
        <v>220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299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219</v>
      </c>
      <c r="M13" s="30"/>
      <c r="N13" s="34" t="s">
        <v>221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299" t="s">
        <v>48</v>
      </c>
      <c r="H14" s="299" t="s">
        <v>48</v>
      </c>
      <c r="I14" s="32"/>
      <c r="J14" s="299" t="s">
        <v>29</v>
      </c>
      <c r="K14" s="28"/>
      <c r="L14" s="180" t="s">
        <v>219</v>
      </c>
      <c r="M14" s="30"/>
      <c r="N14" s="34" t="s">
        <v>221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51" t="s">
        <v>19</v>
      </c>
      <c r="F15" s="299" t="s">
        <v>44</v>
      </c>
      <c r="G15" s="299" t="s">
        <v>44</v>
      </c>
      <c r="H15" s="299" t="s">
        <v>23</v>
      </c>
      <c r="I15" s="32"/>
      <c r="J15" s="299" t="s">
        <v>22</v>
      </c>
      <c r="K15" s="28"/>
      <c r="L15" s="180" t="s">
        <v>219</v>
      </c>
      <c r="M15" s="30"/>
      <c r="N15" s="34" t="s">
        <v>220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2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9" t="s">
        <v>48</v>
      </c>
      <c r="I17" s="119" t="s">
        <v>44</v>
      </c>
      <c r="J17" s="302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299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9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51" t="s">
        <v>19</v>
      </c>
      <c r="F19" s="299" t="s">
        <v>102</v>
      </c>
      <c r="G19" s="33" t="s">
        <v>42</v>
      </c>
      <c r="H19" s="33" t="s">
        <v>42</v>
      </c>
      <c r="I19" s="27"/>
      <c r="J19" s="299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9" t="s">
        <v>23</v>
      </c>
      <c r="G20" s="299" t="s">
        <v>23</v>
      </c>
      <c r="H20" s="142" t="s">
        <v>21</v>
      </c>
      <c r="I20" s="303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299" t="s">
        <v>32</v>
      </c>
      <c r="F21" s="299" t="s">
        <v>102</v>
      </c>
      <c r="G21" s="299" t="s">
        <v>102</v>
      </c>
      <c r="H21" s="48" t="s">
        <v>28</v>
      </c>
      <c r="I21" s="193"/>
      <c r="J21" s="299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299" t="s">
        <v>32</v>
      </c>
      <c r="F22" s="54" t="s">
        <v>42</v>
      </c>
      <c r="G22" s="54" t="s">
        <v>42</v>
      </c>
      <c r="H22" s="348" t="s">
        <v>197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299" t="s">
        <v>22</v>
      </c>
      <c r="F23" s="299" t="s">
        <v>48</v>
      </c>
      <c r="G23" s="299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299" t="s">
        <v>32</v>
      </c>
      <c r="F24" s="299" t="s">
        <v>29</v>
      </c>
      <c r="G24" s="299" t="s">
        <v>29</v>
      </c>
      <c r="H24" s="348" t="s">
        <v>197</v>
      </c>
      <c r="I24" s="291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4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299" t="s">
        <v>44</v>
      </c>
      <c r="F25" s="299" t="s">
        <v>32</v>
      </c>
      <c r="G25" s="299" t="s">
        <v>32</v>
      </c>
      <c r="H25" s="299" t="s">
        <v>23</v>
      </c>
      <c r="I25" s="291" t="s">
        <v>168</v>
      </c>
      <c r="J25" s="28"/>
      <c r="K25" s="28"/>
      <c r="L25" s="305" t="s">
        <v>222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299" t="s">
        <v>23</v>
      </c>
      <c r="F26" s="299" t="s">
        <v>44</v>
      </c>
      <c r="G26" s="48" t="s">
        <v>28</v>
      </c>
      <c r="H26" s="48" t="s">
        <v>28</v>
      </c>
      <c r="I26" s="32"/>
      <c r="J26" s="299" t="s">
        <v>22</v>
      </c>
      <c r="K26" s="36"/>
      <c r="L26" s="305" t="s">
        <v>222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299" t="s">
        <v>32</v>
      </c>
      <c r="F27" s="299" t="s">
        <v>168</v>
      </c>
      <c r="G27" s="299" t="s">
        <v>168</v>
      </c>
      <c r="H27" s="299" t="s">
        <v>22</v>
      </c>
      <c r="I27" s="27"/>
      <c r="J27" s="299" t="s">
        <v>29</v>
      </c>
      <c r="K27" s="64"/>
      <c r="L27" s="305" t="s">
        <v>222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299" t="s">
        <v>23</v>
      </c>
      <c r="F28" s="299" t="s">
        <v>102</v>
      </c>
      <c r="G28" s="299" t="s">
        <v>102</v>
      </c>
      <c r="H28" s="299" t="s">
        <v>32</v>
      </c>
      <c r="I28" s="48"/>
      <c r="J28" s="299" t="s">
        <v>29</v>
      </c>
      <c r="K28" s="48"/>
      <c r="L28" s="305" t="s">
        <v>222</v>
      </c>
      <c r="M28" s="276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299" t="s">
        <v>168</v>
      </c>
      <c r="F29" s="299" t="s">
        <v>22</v>
      </c>
      <c r="G29" s="299" t="s">
        <v>22</v>
      </c>
      <c r="H29" s="299" t="s">
        <v>44</v>
      </c>
      <c r="I29" s="39"/>
      <c r="J29" s="39"/>
      <c r="K29" s="306"/>
      <c r="L29" s="307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299" t="s">
        <v>44</v>
      </c>
      <c r="F30" s="299" t="s">
        <v>23</v>
      </c>
      <c r="G30" s="299" t="s">
        <v>23</v>
      </c>
      <c r="H30" s="348" t="s">
        <v>197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9" t="s">
        <v>32</v>
      </c>
      <c r="G31" s="299" t="s">
        <v>32</v>
      </c>
      <c r="H31" s="308" t="s">
        <v>36</v>
      </c>
      <c r="I31" s="291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67" t="s">
        <v>53</v>
      </c>
      <c r="B33" s="367"/>
      <c r="C33" s="367"/>
      <c r="D33" s="367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3" t="s">
        <v>57</v>
      </c>
      <c r="M35" s="363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64</v>
      </c>
      <c r="J36" s="361" t="s">
        <v>65</v>
      </c>
      <c r="K36" s="361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354" t="s">
        <v>38</v>
      </c>
      <c r="D37" s="355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354" t="s">
        <v>36</v>
      </c>
      <c r="D38" s="355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>
      <c r="A39" s="73"/>
      <c r="B39" s="73"/>
      <c r="C39" s="354" t="s">
        <v>21</v>
      </c>
      <c r="D39" s="356">
        <v>0.5</v>
      </c>
      <c r="E39" s="84">
        <f>COUNTIF($C$4:$C$31,"CAUVY")+COUNTIF($H$4:$H$31,"CAUVY")+COUNTIF($F$4:$F$31,"CAUVY")+COUNTIF($J$4:$J$31,"CAUVY")</f>
        <v>6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96</v>
      </c>
      <c r="M39" s="238">
        <f t="shared" si="2"/>
        <v>33.599999999999994</v>
      </c>
    </row>
    <row r="40" spans="1:21" ht="12" customHeight="1">
      <c r="A40" s="73"/>
      <c r="B40" s="73"/>
      <c r="C40" s="354" t="s">
        <v>31</v>
      </c>
      <c r="D40" s="356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>
        <v>3</v>
      </c>
      <c r="J40" s="85">
        <f t="shared" si="0"/>
        <v>21.6</v>
      </c>
      <c r="K40" s="86">
        <f t="shared" si="1"/>
        <v>88.920000000000016</v>
      </c>
      <c r="L40" s="86">
        <f>E40*10+F40*14+G40*12</f>
        <v>118</v>
      </c>
      <c r="M40" s="238">
        <f t="shared" si="2"/>
        <v>29.079999999999984</v>
      </c>
    </row>
    <row r="41" spans="1:21" ht="12" customHeight="1">
      <c r="A41" s="3"/>
      <c r="B41" s="3"/>
      <c r="C41" s="321" t="s">
        <v>28</v>
      </c>
      <c r="D41" s="357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321" t="s">
        <v>42</v>
      </c>
      <c r="D42" s="357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321" t="s">
        <v>47</v>
      </c>
      <c r="D43" s="357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84</v>
      </c>
      <c r="M43" s="238">
        <f t="shared" si="2"/>
        <v>52.8</v>
      </c>
      <c r="N43" s="3"/>
    </row>
    <row r="44" spans="1:21" ht="12.75" customHeight="1">
      <c r="A44" s="3"/>
      <c r="B44" s="3"/>
      <c r="C44" s="321" t="s">
        <v>20</v>
      </c>
      <c r="D44" s="357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116</v>
      </c>
      <c r="M44" s="238">
        <f t="shared" si="2"/>
        <v>14.599999999999994</v>
      </c>
      <c r="N44" s="3"/>
    </row>
    <row r="45" spans="1:21" ht="12.75" customHeight="1">
      <c r="A45" s="3"/>
      <c r="B45" s="3"/>
      <c r="C45" s="321" t="s">
        <v>19</v>
      </c>
      <c r="D45" s="357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>
      <c r="A46" s="3"/>
      <c r="B46" s="3"/>
      <c r="C46" s="321" t="s">
        <v>37</v>
      </c>
      <c r="D46" s="357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40</v>
      </c>
      <c r="M46" s="240">
        <f t="shared" si="2"/>
        <v>7.2399999999999949</v>
      </c>
      <c r="N46" s="3"/>
    </row>
    <row r="47" spans="1:21" ht="12" customHeight="1">
      <c r="A47" s="3"/>
      <c r="B47" s="3"/>
      <c r="C47" s="321" t="s">
        <v>27</v>
      </c>
      <c r="D47" s="357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321" t="s">
        <v>34</v>
      </c>
      <c r="D48" s="357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321" t="s">
        <v>22</v>
      </c>
      <c r="D49" s="357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>
      <c r="A50" s="3"/>
      <c r="B50" s="3"/>
      <c r="C50" s="321" t="s">
        <v>29</v>
      </c>
      <c r="D50" s="357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>
      <c r="A51" s="3"/>
      <c r="B51" s="3"/>
      <c r="C51" s="321" t="s">
        <v>48</v>
      </c>
      <c r="D51" s="357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>
      <c r="A52" s="3"/>
      <c r="B52" s="3"/>
      <c r="C52" s="321" t="s">
        <v>44</v>
      </c>
      <c r="D52" s="357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>
      <c r="A53" s="3"/>
      <c r="B53" s="3"/>
      <c r="C53" s="321" t="s">
        <v>23</v>
      </c>
      <c r="D53" s="357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>
      <c r="A54" s="3"/>
      <c r="B54" s="3"/>
      <c r="C54" s="321" t="s">
        <v>32</v>
      </c>
      <c r="D54" s="357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>
      <c r="A55" s="3"/>
      <c r="B55" s="72"/>
      <c r="C55" s="320" t="s">
        <v>102</v>
      </c>
      <c r="D55" s="357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>
      <c r="A56" s="3"/>
      <c r="B56" s="96"/>
      <c r="C56" s="322" t="s">
        <v>168</v>
      </c>
      <c r="D56" s="357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>
      <c r="A57" s="3"/>
      <c r="B57" s="73"/>
      <c r="C57" s="268" t="s">
        <v>66</v>
      </c>
      <c r="D57" s="160" t="s">
        <v>67</v>
      </c>
      <c r="E57" s="361" t="s">
        <v>68</v>
      </c>
      <c r="F57" s="72"/>
      <c r="G57" s="96"/>
      <c r="H57" s="309"/>
      <c r="I57" s="309"/>
      <c r="J57" s="309"/>
      <c r="K57" s="309"/>
      <c r="L57" s="57"/>
      <c r="M57" s="57"/>
      <c r="N57" s="57"/>
      <c r="O57" s="57"/>
    </row>
    <row r="58" spans="1:15" ht="12" customHeight="1">
      <c r="A58" s="368" t="s">
        <v>38</v>
      </c>
      <c r="B58" s="368"/>
      <c r="C58" s="272">
        <f>SEPTEMBRE!K37+OCTOBRE!K37+NOVEMBRE!K44+DECEMBRE!K37</f>
        <v>569.4</v>
      </c>
      <c r="D58" s="102">
        <f>SEPTEMBRE!L37+OCTOBRE!L37+NOVEMBRE!L44+DECEMBRE!L37</f>
        <v>588</v>
      </c>
      <c r="E58" s="352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68" t="s">
        <v>36</v>
      </c>
      <c r="B59" s="368"/>
      <c r="C59" s="272">
        <f>SEPTEMBRE!K38+OCTOBRE!K38+NOVEMBRE!K45+DECEMBRE!K38</f>
        <v>522.6</v>
      </c>
      <c r="D59" s="102">
        <f>SEPTEMBRE!L38+OCTOBRE!L38+NOVEMBRE!L45+DECEMBRE!L38</f>
        <v>654</v>
      </c>
      <c r="E59" s="353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68" t="s">
        <v>21</v>
      </c>
      <c r="B60" s="368"/>
      <c r="C60" s="272">
        <f>SEPTEMBRE!K39+OCTOBRE!K39+NOVEMBRE!K46+DECEMBRE!K39</f>
        <v>312</v>
      </c>
      <c r="D60" s="102">
        <f>SEPTEMBRE!L39+OCTOBRE!L39+NOVEMBRE!L46+DECEMBRE!L39</f>
        <v>358</v>
      </c>
      <c r="E60" s="353">
        <f>D60-C60</f>
        <v>46</v>
      </c>
      <c r="F60" s="163">
        <f t="shared" si="4"/>
        <v>1.9166666666666667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68" t="s">
        <v>31</v>
      </c>
      <c r="B61" s="368"/>
      <c r="C61" s="272">
        <f>SEPTEMBRE!K40+OCTOBRE!K40+NOVEMBRE!K47+DECEMBRE!K40</f>
        <v>418.08</v>
      </c>
      <c r="D61" s="102">
        <f>SEPTEMBRE!L40+OCTOBRE!L40+NOVEMBRE!L47+DECEMBRE!L40</f>
        <v>628</v>
      </c>
      <c r="E61" s="353">
        <f>D61-C61</f>
        <v>209.92000000000002</v>
      </c>
      <c r="F61" s="163">
        <f t="shared" si="4"/>
        <v>8.7466666666666679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69" t="s">
        <v>28</v>
      </c>
      <c r="B62" s="369"/>
      <c r="C62" s="272">
        <f>SEPTEMBRE!K41+OCTOBRE!K41+NOVEMBRE!K48+DECEMBRE!K41</f>
        <v>383.76</v>
      </c>
      <c r="D62" s="102">
        <f>SEPTEMBRE!L41+OCTOBRE!L41+NOVEMBRE!L48+DECEMBRE!L41</f>
        <v>422</v>
      </c>
      <c r="E62" s="353">
        <f>D62-C62</f>
        <v>38.240000000000009</v>
      </c>
      <c r="F62" s="163">
        <f t="shared" si="4"/>
        <v>1.5933333333333337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69" t="s">
        <v>42</v>
      </c>
      <c r="B63" s="369"/>
      <c r="C63" s="272">
        <f>SEPTEMBRE!K42+OCTOBRE!K42+NOVEMBRE!K49+DECEMBRE!K42</f>
        <v>491.4</v>
      </c>
      <c r="D63" s="102">
        <f>SEPTEMBRE!L42+OCTOBRE!L42+NOVEMBRE!L49+DECEMBRE!L42</f>
        <v>526</v>
      </c>
      <c r="E63" s="353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69" t="s">
        <v>47</v>
      </c>
      <c r="B64" s="369"/>
      <c r="C64" s="272">
        <f>SEPTEMBRE!K43+OCTOBRE!K43+NOVEMBRE!K50+DECEMBRE!K43</f>
        <v>280.8</v>
      </c>
      <c r="D64" s="102">
        <f>SEPTEMBRE!L43+OCTOBRE!L43+NOVEMBRE!L50+DECEMBRE!L43</f>
        <v>288</v>
      </c>
      <c r="E64" s="353">
        <f t="shared" ref="E64:E77" si="5">D64-C64</f>
        <v>7.1999999999999886</v>
      </c>
      <c r="F64" s="163">
        <f t="shared" si="4"/>
        <v>0.29999999999999954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69" t="s">
        <v>20</v>
      </c>
      <c r="B65" s="369"/>
      <c r="C65" s="272">
        <f>SEPTEMBRE!K44+OCTOBRE!K44+NOVEMBRE!K51+DECEMBRE!K44</f>
        <v>499.19999999999993</v>
      </c>
      <c r="D65" s="102">
        <f>SEPTEMBRE!L44+OCTOBRE!L44+NOVEMBRE!L51+DECEMBRE!L44</f>
        <v>578</v>
      </c>
      <c r="E65" s="353">
        <f t="shared" si="5"/>
        <v>78.800000000000068</v>
      </c>
      <c r="F65" s="163">
        <f t="shared" si="4"/>
        <v>3.2833333333333363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69" t="s">
        <v>19</v>
      </c>
      <c r="B66" s="369"/>
      <c r="C66" s="272">
        <f>SEPTEMBRE!K45+OCTOBRE!K45+NOVEMBRE!K52+DECEMBRE!K45</f>
        <v>216.84</v>
      </c>
      <c r="D66" s="102">
        <f>SEPTEMBRE!L45+OCTOBRE!L45+NOVEMBRE!L52+DECEMBRE!L45</f>
        <v>224</v>
      </c>
      <c r="E66" s="353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69" t="s">
        <v>37</v>
      </c>
      <c r="B67" s="369"/>
      <c r="C67" s="272">
        <f>SEPTEMBRE!K46+OCTOBRE!K46+NOVEMBRE!K53+DECEMBRE!K46</f>
        <v>232.44</v>
      </c>
      <c r="D67" s="102">
        <f>SEPTEMBRE!L46+OCTOBRE!L46+NOVEMBRE!L53+DECEMBRE!L46</f>
        <v>240</v>
      </c>
      <c r="E67" s="353">
        <f t="shared" si="5"/>
        <v>7.5600000000000023</v>
      </c>
      <c r="F67" s="163">
        <f t="shared" si="4"/>
        <v>0.31500000000000011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69" t="s">
        <v>27</v>
      </c>
      <c r="B68" s="369"/>
      <c r="C68" s="272">
        <f>SEPTEMBRE!K47+OCTOBRE!K47+NOVEMBRE!K54+DECEMBRE!K47</f>
        <v>455.52000000000004</v>
      </c>
      <c r="D68" s="102">
        <f>SEPTEMBRE!L47+OCTOBRE!L47+NOVEMBRE!L54+DECEMBRE!L47</f>
        <v>554</v>
      </c>
      <c r="E68" s="353">
        <f t="shared" si="5"/>
        <v>98.479999999999961</v>
      </c>
      <c r="F68" s="163">
        <f t="shared" si="4"/>
        <v>4.1033333333333317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69" t="s">
        <v>34</v>
      </c>
      <c r="B69" s="369"/>
      <c r="C69" s="272">
        <f>SEPTEMBRE!K48+OCTOBRE!K48+NOVEMBRE!K55+DECEMBRE!K48</f>
        <v>374.4</v>
      </c>
      <c r="D69" s="102">
        <f>SEPTEMBRE!L48+OCTOBRE!L48+NOVEMBRE!L55+DECEMBRE!L48</f>
        <v>456</v>
      </c>
      <c r="E69" s="353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69" t="s">
        <v>22</v>
      </c>
      <c r="B70" s="369"/>
      <c r="C70" s="272">
        <f>SEPTEMBRE!K49+OCTOBRE!K49+NOVEMBRE!K56+DECEMBRE!K49</f>
        <v>585</v>
      </c>
      <c r="D70" s="102">
        <f>SEPTEMBRE!L49+OCTOBRE!L49+NOVEMBRE!L56+DECEMBRE!L49</f>
        <v>616</v>
      </c>
      <c r="E70" s="353">
        <f t="shared" si="5"/>
        <v>31</v>
      </c>
      <c r="F70" s="163">
        <f t="shared" si="4"/>
        <v>1.2916666666666667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69" t="s">
        <v>29</v>
      </c>
      <c r="B71" s="369"/>
      <c r="C71" s="272">
        <f>SEPTEMBRE!K50+OCTOBRE!K50+NOVEMBRE!K57+DECEMBRE!K50</f>
        <v>561.6</v>
      </c>
      <c r="D71" s="102">
        <f>SEPTEMBRE!L50+OCTOBRE!L50+NOVEMBRE!L57+DECEMBRE!L50</f>
        <v>582</v>
      </c>
      <c r="E71" s="353">
        <f t="shared" si="5"/>
        <v>20.399999999999977</v>
      </c>
      <c r="F71" s="163">
        <f t="shared" si="4"/>
        <v>0.84999999999999909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69" t="s">
        <v>48</v>
      </c>
      <c r="B72" s="369"/>
      <c r="C72" s="272">
        <f>SEPTEMBRE!K51+OCTOBRE!K51+NOVEMBRE!K58+DECEMBRE!K51</f>
        <v>499.2</v>
      </c>
      <c r="D72" s="102">
        <f>SEPTEMBRE!L51+OCTOBRE!L51+NOVEMBRE!L58+DECEMBRE!L51</f>
        <v>488</v>
      </c>
      <c r="E72" s="353">
        <f t="shared" si="5"/>
        <v>-11.199999999999989</v>
      </c>
      <c r="F72" s="163">
        <f t="shared" si="4"/>
        <v>-0.46666666666666617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31.5</v>
      </c>
      <c r="K72" s="86">
        <f t="shared" si="7"/>
        <v>11.770000000000003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69" t="s">
        <v>44</v>
      </c>
      <c r="B73" s="369"/>
      <c r="C73" s="272">
        <f>SEPTEMBRE!K52+OCTOBRE!K52+NOVEMBRE!K59+DECEMBRE!K52</f>
        <v>639.6</v>
      </c>
      <c r="D73" s="102">
        <f>SEPTEMBRE!L52+OCTOBRE!L52+NOVEMBRE!L59+DECEMBRE!L52</f>
        <v>550</v>
      </c>
      <c r="E73" s="240">
        <f t="shared" si="5"/>
        <v>-89.600000000000023</v>
      </c>
      <c r="F73" s="163">
        <f t="shared" si="4"/>
        <v>-3.7333333333333343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69" t="s">
        <v>23</v>
      </c>
      <c r="B74" s="369"/>
      <c r="C74" s="272">
        <f>SEPTEMBRE!K53+OCTOBRE!K53+NOVEMBRE!K60+DECEMBRE!K53</f>
        <v>530.4</v>
      </c>
      <c r="D74" s="102">
        <f>SEPTEMBRE!L53+OCTOBRE!L53+NOVEMBRE!L60+DECEMBRE!L53</f>
        <v>534</v>
      </c>
      <c r="E74" s="353">
        <f t="shared" si="5"/>
        <v>3.6000000000000227</v>
      </c>
      <c r="F74" s="163">
        <f t="shared" si="4"/>
        <v>0.15000000000000094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35.200000000000003</v>
      </c>
      <c r="K74" s="86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69" t="s">
        <v>32</v>
      </c>
      <c r="B75" s="369"/>
      <c r="C75" s="272">
        <f>SEPTEMBRE!K54+OCTOBRE!K54+NOVEMBRE!K61+DECEMBRE!K54</f>
        <v>538.19999999999993</v>
      </c>
      <c r="D75" s="102">
        <f>SEPTEMBRE!L54+OCTOBRE!L54+NOVEMBRE!L61+DECEMBRE!L54</f>
        <v>750</v>
      </c>
      <c r="E75" s="353">
        <f t="shared" si="5"/>
        <v>211.80000000000007</v>
      </c>
      <c r="F75" s="163">
        <f t="shared" si="4"/>
        <v>8.8250000000000028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69" t="s">
        <v>102</v>
      </c>
      <c r="B76" s="369"/>
      <c r="C76" s="272">
        <f>SEPTEMBRE!K55+OCTOBRE!K55+NOVEMBRE!K62+DECEMBRE!K55</f>
        <v>546</v>
      </c>
      <c r="D76" s="102">
        <f>SEPTEMBRE!L55+OCTOBRE!L55+NOVEMBRE!L62+DECEMBRE!L55</f>
        <v>648</v>
      </c>
      <c r="E76" s="353">
        <f t="shared" si="5"/>
        <v>102</v>
      </c>
      <c r="F76" s="163">
        <f t="shared" si="4"/>
        <v>4.25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70" t="s">
        <v>168</v>
      </c>
      <c r="B77" s="370"/>
      <c r="C77" s="272">
        <f>SEPTEMBRE!K56+OCTOBRE!K56+NOVEMBRE!K63+DECEMBRE!K56</f>
        <v>546</v>
      </c>
      <c r="D77" s="102">
        <f>SEPTEMBRE!L56+OCTOBRE!L56+NOVEMBRE!L63+DECEMBRE!L56</f>
        <v>616</v>
      </c>
      <c r="E77" s="353">
        <f t="shared" si="5"/>
        <v>70</v>
      </c>
      <c r="F77" s="163">
        <f t="shared" si="4"/>
        <v>2.9166666666666665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7</v>
      </c>
      <c r="K77" s="86">
        <f t="shared" si="7"/>
        <v>15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44</v>
      </c>
      <c r="K78" s="86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3">
        <v>100</v>
      </c>
      <c r="I88" s="324">
        <f t="shared" si="6"/>
        <v>44</v>
      </c>
      <c r="J88" s="324">
        <f>AOUT!J91+SEPTEMBRE!I54+OCTOBRE!I54+NOVEMBRE!I61+DECEMBRE!I54</f>
        <v>28</v>
      </c>
      <c r="K88" s="324">
        <f t="shared" si="7"/>
        <v>16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0" t="s">
        <v>102</v>
      </c>
      <c r="H89" s="321">
        <v>100</v>
      </c>
      <c r="I89" s="321">
        <f t="shared" si="6"/>
        <v>44</v>
      </c>
      <c r="J89" s="321">
        <f>AOUT!J92+SEPTEMBRE!I55+OCTOBRE!I55+NOVEMBRE!I62+DECEMBRE!I55</f>
        <v>12</v>
      </c>
      <c r="K89" s="321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2" t="s">
        <v>168</v>
      </c>
      <c r="H90" s="321">
        <v>100</v>
      </c>
      <c r="I90" s="321">
        <f t="shared" si="6"/>
        <v>44</v>
      </c>
      <c r="J90" s="321">
        <f>AOUT!J93+SEPTEMBRE!I56+OCTOBRE!I56+NOVEMBRE!I63+DECEMBRE!I56</f>
        <v>12</v>
      </c>
      <c r="K90" s="321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77:B77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L35:M35"/>
    <mergeCell ref="A58:B58"/>
    <mergeCell ref="A59:B59"/>
    <mergeCell ref="A60:B60"/>
    <mergeCell ref="A61:B61"/>
    <mergeCell ref="A1:O1"/>
    <mergeCell ref="C2:D2"/>
    <mergeCell ref="F2:G2"/>
    <mergeCell ref="J2:O2"/>
    <mergeCell ref="A33:D33"/>
  </mergeCells>
  <dataValidations count="1">
    <dataValidation type="list" allowBlank="1" showErrorMessage="1" sqref="C4:D22 E5:L5 C30:D31 F6:L6 E7:L7 E15:K15 E9:K9 G18:J31 E11:K11 F4:L4 E13:K13 F14:K14 F8:L8 F16:F31 H16:K16 E17:E31 G17:K17 F12:K12 K19:K21 K23:K26 C25:D28 K28:K31 F10:K10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2026-09-22T07:16:35Z</dcterms:modified>
  <cp:category/>
  <cp:contentStatus/>
</cp:coreProperties>
</file>