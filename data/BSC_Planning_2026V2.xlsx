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53" documentId="11_82001204A17853BD4102BB3957D4EBE5562A03D3" xr6:coauthVersionLast="47" xr6:coauthVersionMax="47" xr10:uidLastSave="{4CF0D849-60C9-4DCE-B524-4E1D55F59F8F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<sst xmlns="http://schemas.openxmlformats.org/spreadsheetml/2006/main" count="4201" uniqueCount="220">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</sst>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8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29" fillId="27" borderId="1" xfId="0" applyFont="1" applyFill="1" applyBorder="1" applyAlignment="1">
      <alignment horizontal="center" wrapText="1"/>
    </xf>
    <xf numFmtId="0" fontId="4" fillId="31" borderId="1" xfId="0" applyFont="1" applyFill="1" applyBorder="1" applyAlignment="1"/>
    <xf numFmtId="0" fontId="5" fillId="31" borderId="1" xfId="0" applyFont="1" applyFill="1" applyBorder="1" applyAlignment="1">
      <alignment horizontal="center"/>
    </xf>
    <xf numFmtId="0" fontId="4" fillId="32" borderId="1" xfId="0" applyFont="1" applyFill="1" applyBorder="1" applyAlignment="1"/>
    <xf numFmtId="0" fontId="5" fillId="32" borderId="1" xfId="0" applyFont="1" applyFill="1" applyBorder="1" applyAlignment="1">
      <alignment horizontal="center"/>
    </xf>
    <xf numFmtId="0" fontId="12" fillId="32" borderId="1" xfId="0" applyFont="1" applyFill="1" applyBorder="1" applyAlignment="1"/>
    <xf numFmtId="0" fontId="5" fillId="32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166" fontId="4" fillId="14" borderId="1" xfId="0" applyNumberFormat="1" applyFont="1" applyFill="1" applyBorder="1" applyAlignment="1"/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32" borderId="10" xfId="0" applyFont="1" applyFill="1" applyBorder="1" applyAlignment="1"/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11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1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54" t="s">
        <v>53</v>
      </c>
      <c r="B33" s="354"/>
      <c r="C33" s="354"/>
      <c r="D33" s="35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8" t="s">
        <v>57</v>
      </c>
      <c r="M35" s="77"/>
      <c r="N35" s="348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8" t="s">
        <v>63</v>
      </c>
      <c r="J36" s="348" t="s">
        <v>64</v>
      </c>
      <c r="K36" s="348" t="s">
        <v>65</v>
      </c>
      <c r="L36" s="348" t="s">
        <v>66</v>
      </c>
      <c r="M36" s="77" t="s">
        <v>67</v>
      </c>
      <c r="N36" s="348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8"/>
      <c r="J37" s="348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1" t="s">
        <v>72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54" t="s">
        <v>53</v>
      </c>
      <c r="B33" s="354"/>
      <c r="C33" s="354"/>
      <c r="D33" s="35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8" t="s">
        <v>57</v>
      </c>
      <c r="M35" s="77"/>
      <c r="N35" s="348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8" t="s">
        <v>63</v>
      </c>
      <c r="J36" s="348" t="s">
        <v>64</v>
      </c>
      <c r="K36" s="348" t="s">
        <v>65</v>
      </c>
      <c r="L36" s="348" t="s">
        <v>66</v>
      </c>
      <c r="M36" s="77" t="s">
        <v>67</v>
      </c>
      <c r="N36" s="348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8"/>
      <c r="J37" s="348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1" t="s">
        <v>89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54" t="s">
        <v>53</v>
      </c>
      <c r="B40" s="354"/>
      <c r="C40" s="354"/>
      <c r="D40" s="35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8" t="s">
        <v>57</v>
      </c>
      <c r="M42" s="77"/>
      <c r="N42" s="348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8" t="s">
        <v>63</v>
      </c>
      <c r="J43" s="348" t="s">
        <v>64</v>
      </c>
      <c r="K43" s="348" t="s">
        <v>65</v>
      </c>
      <c r="L43" s="348" t="s">
        <v>66</v>
      </c>
      <c r="M43" s="77" t="s">
        <v>67</v>
      </c>
      <c r="N43" s="348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8"/>
      <c r="J44" s="348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59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1" t="s">
        <v>101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54" t="s">
        <v>53</v>
      </c>
      <c r="B33" s="354"/>
      <c r="C33" s="354"/>
      <c r="D33" s="35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8" t="s">
        <v>57</v>
      </c>
      <c r="M35" s="77"/>
      <c r="N35" s="348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8" t="s">
        <v>63</v>
      </c>
      <c r="J36" s="348" t="s">
        <v>64</v>
      </c>
      <c r="K36" s="348" t="s">
        <v>65</v>
      </c>
      <c r="L36" s="348" t="s">
        <v>66</v>
      </c>
      <c r="M36" s="77" t="s">
        <v>67</v>
      </c>
      <c r="N36" s="348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8"/>
      <c r="J37" s="348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50" t="s">
        <v>57</v>
      </c>
      <c r="D60" s="350"/>
      <c r="E60" s="350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8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topLeftCell="C22" zoomScale="112" zoomScaleNormal="112" workbookViewId="0">
      <selection activeCell="J58" sqref="J5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51" t="s">
        <v>115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54" t="s">
        <v>53</v>
      </c>
      <c r="B33" s="354"/>
      <c r="C33" s="354"/>
      <c r="D33" s="35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8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8" t="s">
        <v>63</v>
      </c>
      <c r="J36" s="348" t="s">
        <v>64</v>
      </c>
      <c r="K36" s="348" t="s">
        <v>65</v>
      </c>
      <c r="L36" s="348" t="s">
        <v>66</v>
      </c>
      <c r="M36" s="77" t="s">
        <v>67</v>
      </c>
      <c r="N36" s="348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34" zoomScale="111" zoomScaleNormal="111" workbookViewId="0">
      <selection activeCell="J67" sqref="J6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51" t="s">
        <v>134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54" t="s">
        <v>53</v>
      </c>
      <c r="B40" s="354"/>
      <c r="C40" s="354"/>
      <c r="D40" s="35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8" t="s">
        <v>57</v>
      </c>
      <c r="M42" s="77"/>
      <c r="N42" s="348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8" t="s">
        <v>63</v>
      </c>
      <c r="J43" s="348" t="s">
        <v>64</v>
      </c>
      <c r="K43" s="348" t="s">
        <v>65</v>
      </c>
      <c r="L43" s="348" t="s">
        <v>66</v>
      </c>
      <c r="M43" s="77" t="s">
        <v>67</v>
      </c>
      <c r="N43" s="348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47">
        <f>COUNTIF($C$4:$C$38,"AZZEDINE")+COUNTIF($H$4:$H$38,"AZZEDINE")+COUNTIF($I$4:$I$38,"AZZEDINE")+COUNTIF($F$4:$F$38,"AZZEDINE")+D72</f>
        <v>3</v>
      </c>
      <c r="F63" s="347">
        <f>COUNTIF($D$4:$D$38,"AZZEDINE")+COUNTIF($H$4:$H$38,"AZZEDINE")+COUNTIF($G$4:$G$38,"AZZEDINE")</f>
        <v>0</v>
      </c>
      <c r="G63" s="347">
        <f>COUNTIF($E$4:$E$38,"AZZEDINE")</f>
        <v>0</v>
      </c>
      <c r="H63" s="347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29" zoomScale="112" zoomScaleNormal="112" workbookViewId="0">
      <selection activeCell="I57" sqref="I5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51" t="s">
        <v>159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54" t="s">
        <v>53</v>
      </c>
      <c r="B33" s="354"/>
      <c r="C33" s="354"/>
      <c r="D33" s="354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8" t="s">
        <v>64</v>
      </c>
      <c r="J36" s="348" t="s">
        <v>65</v>
      </c>
      <c r="K36" s="348" t="s">
        <v>66</v>
      </c>
      <c r="L36" s="348" t="s">
        <v>67</v>
      </c>
      <c r="M36" s="348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7">
        <f>COUNTIF($C$4:$C$31,"BOULAT")+COUNTIF($F$4:$F$31,"BOULAT")+COUNTIF($I$4:$I$31,"BOULAT")+COUNTIF($K$4:$K$31,"BOULAT")</f>
        <v>4</v>
      </c>
      <c r="F37" s="347">
        <f>COUNTIF($D$4:$D$31,"BOULAT")+COUNTIF($G$4:$G$31,"BOULAT")</f>
        <v>3</v>
      </c>
      <c r="G37" s="347">
        <f>COUNTIF($E$4:$E$31,"BOULAT")</f>
        <v>0</v>
      </c>
      <c r="H37" s="161"/>
      <c r="I37" s="347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7">
        <f>COUNTIF($C$4:$C$31,"BRUGIROUX")+COUNTIF($I$4:$I$31,"BRUGIROUX")+COUNTIF($F$4:$F$31,"BRUGIROUX")+COUNTIF($K$4:$K$31,"BRUGIROUX")</f>
        <v>5</v>
      </c>
      <c r="F38" s="347">
        <f>COUNTIF($D$4:$D$31,"BRUGIROUX")+COUNTIF($G$4:$G$31,"BRUGIROUX")</f>
        <v>8</v>
      </c>
      <c r="G38" s="347">
        <f>COUNTIF($E$4:$E$31,"BRUGIROUX")</f>
        <v>1</v>
      </c>
      <c r="H38" s="161">
        <f>COUNTIF($J$4:$J$31,"BRUGIROUX")</f>
        <v>0</v>
      </c>
      <c r="I38" s="347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7">
        <f>COUNTIF($C$4:$C$31,"CAUVY")+COUNTIF($F$4:$F$31,"CAUVY")+COUNTIF($I$4:$I$31,"CAUVY")+COUNTIF($K$4:$K$31,"CAUVY")</f>
        <v>4</v>
      </c>
      <c r="F39" s="347">
        <f>COUNTIF($D$4:$D$31,"CAUVY")+COUNTIF($G$4:$G$31,"CAUVY")</f>
        <v>0</v>
      </c>
      <c r="G39" s="347">
        <f>COUNTIF($E$4:$E$31,"CAUVY")</f>
        <v>1</v>
      </c>
      <c r="H39" s="347"/>
      <c r="I39" s="347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7">
        <f>COUNTIF($C$4:$C$31,"FONTAINE")+COUNTIF($I$4:$I$31,"FONTAINE")+COUNTIF($F$4:$F$31,"FONTAINE")+COUNTIF($K$4:$K$31,"FONTAINE")</f>
        <v>3</v>
      </c>
      <c r="F40" s="347">
        <f>COUNTIF($D$4:$D$31,"FONTAINE")+COUNTIF($G$4:$G$31,"FONTAINE")</f>
        <v>2</v>
      </c>
      <c r="G40" s="347">
        <f>COUNTIF($E$4:$E$31,"FONTAINE")</f>
        <v>0</v>
      </c>
      <c r="H40" s="161"/>
      <c r="I40" s="347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7">
        <f>COUNTIF($C$4:$C$31,"KANTCHE")+COUNTIF($I$4:$I$31,"KANTCHE")+COUNTIF($F$4:$F$31,"KANTCHE")+COUNTIF($K$4:$K$31,"KANTCHE")</f>
        <v>4</v>
      </c>
      <c r="F41" s="347">
        <f>COUNTIF($D$4:$D$31,"KANTCHE")+COUNTIF($G$4:$G$31,"KANTCHE")</f>
        <v>3</v>
      </c>
      <c r="G41" s="347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7">
        <f>COUNTIF($C$4:$C$31,"ORIOLI")+COUNTIF($I$4:$I$31,"ORIOLI")+COUNTIF($F$4:$F$31,"ORIOLI")+COUNTIF($K$4:$K$31,"ORIOLI")</f>
        <v>5</v>
      </c>
      <c r="F42" s="347">
        <f>COUNTIF($D$4:$D$31,"ORIOLI")+COUNTIF($G$4:$G$31,"ORIOLI")</f>
        <v>5</v>
      </c>
      <c r="G42" s="347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7">
        <f>COUNTIF($C$4:$C$31,"TKATCHOUK")+COUNTIF($I$4:$I$31,"TKATCHOUK")+COUNTIF($F$4:$F$31,"TKATCHOUK")+COUNTIF($K$4:$K$31,"TKATCHOUK")</f>
        <v>0</v>
      </c>
      <c r="F43" s="347">
        <f>COUNTIF($D$4:$D$31,"TKATCHOUK")+COUNTIF($G$4:$G$31,"TKATCHOUK")</f>
        <v>0</v>
      </c>
      <c r="G43" s="347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7">
        <f>COUNTIF($C$4:$C$31,"TORREGROSSA")+COUNTIF($I$4:$I$31,"TORREGROSSA")+COUNTIF($F$4:$F$31,"TORREGROSSA")+COUNTIF($K$4:$K$31,"TORREGROSSA")</f>
        <v>4</v>
      </c>
      <c r="F44" s="347">
        <f>COUNTIF($D$4:$D$31,"TORREGROSSA")+COUNTIF($G$4:$G$31,"TORREGROSSA")</f>
        <v>4</v>
      </c>
      <c r="G44" s="347">
        <f>COUNTIF($E$4:$E$31,"TORREGROSSA")</f>
        <v>0</v>
      </c>
      <c r="H44" s="347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7">
        <f>COUNTIF($C$4:$C$31,"BALLOT")+COUNTIF($F$4:$F$31,"BALLOT")+COUNTIF($I$4:$I$31,"BALLOT")+COUNTIF($K$4:$K$31,"BALLOT")</f>
        <v>2</v>
      </c>
      <c r="F45" s="347">
        <f>COUNTIF($D$4:$D$31,"BALLOT")+COUNTIF($G$4:$G$31,"BALLOT")</f>
        <v>0</v>
      </c>
      <c r="G45" s="347">
        <f>COUNTIF($E$4:$E$31,"BALLOT")</f>
        <v>3</v>
      </c>
      <c r="H45" s="347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7">
        <f>COUNTIF($C$4:$C$31,"MOREL")+COUNTIF($I$4:$I$31,"MOREL")+COUNTIF($F$4:$F$31,"MOREL")+COUNTIF($K$4:$K$31,"MOREL")</f>
        <v>5</v>
      </c>
      <c r="F46" s="347">
        <f>COUNTIF($D$4:$D$31,"MOREL")+COUNTIF($G$4:$G$31,"MOREL")</f>
        <v>0</v>
      </c>
      <c r="G46" s="347">
        <f>COUNTIF($E$4:$E$31,"MOREL")</f>
        <v>0</v>
      </c>
      <c r="H46" s="347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7">
        <f>COUNTIF($C$4:$C$31,"RACHIDI")+COUNTIF($I$4:$I$31,"RACHIDI")+COUNTIF($F$4:$F$31,"RACHIDI")+COUNTIF($K$4:$K$31,"RACHIDI")</f>
        <v>1</v>
      </c>
      <c r="F47" s="347">
        <f>COUNTIF($D$4:$D$31,"RACHIDI")+COUNTIF($G$4:$G$31,"RACHIDI")</f>
        <v>1</v>
      </c>
      <c r="G47" s="347">
        <f>COUNTIF($E$4:$E$31,"RACHIDI")</f>
        <v>0</v>
      </c>
      <c r="H47" s="347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7">
        <f>COUNTIF($C$4:$C$31,"ZEBICHE")+COUNTIF($F$4:$F$31,"ZEBICHE")+COUNTIF($I$4:$I$31,"ZEBICHE")+COUNTIF($K$4:$K$31,"ZEBICHE")</f>
        <v>9</v>
      </c>
      <c r="F48" s="347">
        <f>COUNTIF($D$4:$D$31,"ZEBICHE")+COUNTIF($G$4:$G$31,"ZEBICHE")</f>
        <v>9</v>
      </c>
      <c r="G48" s="347">
        <f>COUNTIF($E$4:$E$31,"ZEBICHE")</f>
        <v>0</v>
      </c>
      <c r="H48" s="347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7">
        <f>COUNTIF($C$4:$C$31,"HACHIMI")+COUNTIF($F$4:$F$31,"HACHIMI")+COUNTIF($H$4:$H$31,"HACHIMI")+COUNTIF($I$4:$I$31,"HACHIMI")+D58+COUNTIF($K$4:$K$31,"HACHIMI")</f>
        <v>8</v>
      </c>
      <c r="F49" s="347">
        <f>COUNTIF($D$4:$D$31,"HACHIMI")+COUNTIF($H$4:$H$31,"HACHIMI")+COUNTIF($G$4:$G$31,"HACHIMI")</f>
        <v>7</v>
      </c>
      <c r="G49" s="347">
        <f>COUNTIF($E$4:$E$31,"HACHIMI")</f>
        <v>2</v>
      </c>
      <c r="H49" s="347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7">
        <f>COUNTIF($C$4:$C$31,"BIENDOUX")+COUNTIF($H$4:$H$31,"BIENDOUX")+COUNTIF($I$4:$I$31,"BIENDOUX")+COUNTIF($F$4:$F$31,"BIENDOUX")+D59+COUNTIF($K$4:$K$31,"BIENDOUX")</f>
        <v>14</v>
      </c>
      <c r="F50" s="347">
        <v>4</v>
      </c>
      <c r="G50" s="347">
        <f>COUNTIF($E$4:$E$31,"BIENDOUX")</f>
        <v>0</v>
      </c>
      <c r="H50" s="347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7">
        <f>COUNTIF($C$4:$C$31,"AFZAL")+COUNTIF($H$4:$H$31,"AFZAL")+COUNTIF($I$4:$I$31,"AFZAL")+COUNTIF($F$4:$F$31,"AFZAL")+D60+COUNTIF($K$4:$K$31,"AFZAL")</f>
        <v>8</v>
      </c>
      <c r="F51" s="347">
        <v>9</v>
      </c>
      <c r="G51" s="347">
        <f>COUNTIF($E$4:$E$31,"AFZAL")</f>
        <v>1</v>
      </c>
      <c r="H51" s="347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7">
        <f>COUNTIF($C$4:$C$31,"IBRAHIM")+COUNTIF($H$4:$H$31,"IBRAHIM")+COUNTIF($I$4:$I$31,"IBRAHIM")+COUNTIF($K$4:$K$31,"IBRAHIM")+COUNTIF($F$4:$F$31,"IBRAHIM")+D61</f>
        <v>8</v>
      </c>
      <c r="F52" s="347">
        <v>6</v>
      </c>
      <c r="G52" s="347">
        <f>COUNTIF($E$4:$E$31,"IBRAHIM")</f>
        <v>3</v>
      </c>
      <c r="H52" s="347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7">
        <f>COUNTIF($C$4:$C$31,"IMAD")+COUNTIF($H$4:$H$31,"IMAD")+COUNTIF($I$4:$I$31,"IMAD")+COUNTIF($F$4:$F$31,"IMAD")+D62+COUNTIF($K$4:$K$31,"IMAD")</f>
        <v>6</v>
      </c>
      <c r="F53" s="347">
        <f>COUNTIF($D$4:$D$31,"IMAD")+COUNTIF($H$4:$H$31,"IMAD")+COUNTIF($G$4:$G$31,"IMAD")</f>
        <v>5</v>
      </c>
      <c r="G53" s="347">
        <f>COUNTIF($E$4:$E$31,"IMAD")</f>
        <v>1</v>
      </c>
      <c r="H53" s="347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7">
        <f>COUNTIF($C$4:$C$31,"RADO")+COUNTIF($H$4:$H$31,"RADO")+COUNTIF($I$4:$I$31,"RADO")+COUNTIF($F$4:$F$31,"RADO")+D63+COUNTIF($K$4:$K$31,"RADO")</f>
        <v>14</v>
      </c>
      <c r="F54" s="347">
        <f>COUNTIF($D$4:$D$31,"RADO")+COUNTIF($H$4:$H$31,"RADO")+COUNTIF($G$4:$G$31,"RADO")</f>
        <v>2</v>
      </c>
      <c r="G54" s="347">
        <f>COUNTIF($E$4:$E$31,"RADO")</f>
        <v>2</v>
      </c>
      <c r="H54" s="347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7">
        <f>COUNTIF($C$4:$C$31,"TODY")+COUNTIF($H$4:$H$31,"TODY")+COUNTIF($I$4:$I$31,"TODY")+COUNTIF($F$4:$F$31,"TODY")+D64+COUNTIF($K$4:$K$31,"TODY")</f>
        <v>11</v>
      </c>
      <c r="F55" s="347">
        <f>COUNTIF($D$4:$D$31,"TODY")+COUNTIF($H$4:$H$31,"TODY")+COUNTIF($G$4:$G$31,"TODY")</f>
        <v>2</v>
      </c>
      <c r="G55" s="347">
        <f>COUNTIF($E$4:$E$31,"TODY")</f>
        <v>2</v>
      </c>
      <c r="H55" s="347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47">
        <f>COUNTIF($C$4:$C$31,"RODRIGUE")+COUNTIF($H$4:$H$31,"RODRIGUE")+COUNTIF($I$4:$I$31,"RODRIGUE")+COUNTIF($F$4:$F$31,"RODRIGUE")+D65+COUNTIF($K$4:$K$31,"RODRIGUE")</f>
        <v>6</v>
      </c>
      <c r="F56" s="347">
        <f>COUNTIF($D$4:$D$31,"RODRIGUE")+COUNTIF($H$4:$H$31,"RODRIGUE")+COUNTIF($G$4:$G$31,"RODRIGUE")</f>
        <v>3</v>
      </c>
      <c r="G56" s="347">
        <f>COUNTIF($E$4:$E$31,"RODRIGUE")</f>
        <v>2</v>
      </c>
      <c r="H56" s="347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A54" zoomScale="111" zoomScaleNormal="111" workbookViewId="0">
      <selection activeCell="B81" sqref="B81:E8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51" t="s">
        <v>174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</row>
    <row r="2" spans="1:20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0" t="s">
        <v>22</v>
      </c>
      <c r="G18" s="330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0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5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168</v>
      </c>
      <c r="D28" s="32" t="s">
        <v>28</v>
      </c>
      <c r="E28" s="51" t="s">
        <v>102</v>
      </c>
      <c r="F28" s="330" t="s">
        <v>22</v>
      </c>
      <c r="G28" s="330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35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0" t="s">
        <v>22</v>
      </c>
      <c r="H36" s="36"/>
      <c r="I36" s="51" t="s">
        <v>102</v>
      </c>
      <c r="J36" s="52"/>
      <c r="K36" s="330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54"/>
      <c r="O40" s="354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8" t="s">
        <v>64</v>
      </c>
      <c r="J41" s="348" t="s">
        <v>65</v>
      </c>
      <c r="K41" s="77" t="s">
        <v>66</v>
      </c>
      <c r="L41" s="348" t="s">
        <v>67</v>
      </c>
      <c r="M41" s="348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7">
        <f>COUNTIF($C$4:$C$38,"BOULAT")+COUNTIF($F$4:$F$38,"BOULAT")+COUNTIF($I$4:$I$38,"BOULAT")+COUNTIF($K$4:$K$38,"BOULAT")</f>
        <v>8</v>
      </c>
      <c r="F42" s="347">
        <f>COUNTIF($D$4:$D$38,"BOULAT")+COUNTIF($G$4:$G$38,"BOULAT")</f>
        <v>6</v>
      </c>
      <c r="G42" s="347">
        <f>COUNTIF($E$4:$E$38,"BOULAT")</f>
        <v>0</v>
      </c>
      <c r="H42" s="161"/>
      <c r="I42" s="347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7">
        <f>COUNTIF($C$4:$C$38,"BRUGIROUX")+COUNTIF($F$4:$F$38,"BRUGIROUX")+COUNTIF($I$4:$I$38,"BRUGIROUX")+COUNTIF($K$4:$K$38,"BRUGIROUX")</f>
        <v>7</v>
      </c>
      <c r="F43" s="347">
        <f>COUNTIF($D$4:$D$38,"BRUGIROUX")+COUNTIF($G$4:$G$38,"BRUGIROUX")</f>
        <v>10</v>
      </c>
      <c r="G43" s="347">
        <f>COUNTIF($E$4:$E$38,"BRUGIROUX")</f>
        <v>0</v>
      </c>
      <c r="H43" s="161">
        <v>1</v>
      </c>
      <c r="I43" s="347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7">
        <f>COUNTIF($C$4:$C$38,"CAUVY")+COUNTIF($F$4:$F$38,"CAUVY")+COUNTIF($I$4:$I$38,"CAUVY")+COUNTIF($K$4:$K$38,"CAUVY")</f>
        <v>2</v>
      </c>
      <c r="F44" s="347">
        <f>COUNTIF($D$4:$D$38,"CAUVY")+COUNTIF($G$4:$G$38,"CAUVY")</f>
        <v>0</v>
      </c>
      <c r="G44" s="347">
        <f>COUNTIF($E$4:$E$38,"CAUVY")</f>
        <v>1</v>
      </c>
      <c r="H44" s="347"/>
      <c r="I44" s="347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7">
        <f>COUNTIF($C$4:$C$38,"FONTAINE")+COUNTIF($F$4:$F$38,"FONTAINE")+COUNTIF($I$4:$I$38,"FONTAINE")+COUNTIF($K$4:$K$38,"FONTAINE")</f>
        <v>5</v>
      </c>
      <c r="F45" s="347">
        <f>COUNTIF($D$4:$D$38,"FONTAINE")+COUNTIF($G$4:$G$38,"FONTAINE")</f>
        <v>4</v>
      </c>
      <c r="G45" s="347">
        <f>COUNTIF($E$4:$E$38,"FONTAINE")</f>
        <v>1</v>
      </c>
      <c r="H45" s="161"/>
      <c r="I45" s="347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7">
        <f>COUNTIF($C$4:$C$38,"KANTCHE")+COUNTIF($F$4:$F$38,"KANTCHE")+COUNTIF($I$4:$I$38,"KANTCHE")+COUNTIF($K$4:$K$38,"KANTCHE")</f>
        <v>5</v>
      </c>
      <c r="F46" s="347">
        <f>COUNTIF($D$4:$D$38,"KANTCHE")+COUNTIF($G$4:$G$38,"KANTCHE")</f>
        <v>1</v>
      </c>
      <c r="G46" s="347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7">
        <f>COUNTIF($C$4:$C$38,"ORIOLI")+COUNTIF($F$4:$F$38,"ORIOLI")+COUNTIF($I$4:$I$38,"ORIOLI")+COUNTIF($K$4:$K$38,"ORIOLI")</f>
        <v>7</v>
      </c>
      <c r="F47" s="347">
        <f>COUNTIF($D$4:$D$38,"ORIOLI")+COUNTIF($G$4:$G$38,"ORIOLI")</f>
        <v>7</v>
      </c>
      <c r="G47" s="347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7">
        <f>COUNTIF($C$4:$C$38,"TKATCHOUK")+COUNTIF($F$4:$F$38,"TKATCHOUK")+COUNTIF($I$4:$I$38,"TKATCHOUK")+COUNTIF($K$4:$K$38,"TKATCHOUK")</f>
        <v>0</v>
      </c>
      <c r="F48" s="347">
        <f>COUNTIF($D$4:$D$38,"TKATCHOUK")+COUNTIF($G$4:$G$38,"TKATCHOUK")</f>
        <v>0</v>
      </c>
      <c r="G48" s="347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7">
        <f>COUNTIF($C$4:$C$38,"TORREGROSSA")+COUNTIF($F$4:$F$38,"TORREGROSSA")+COUNTIF($K$4:$K$38,"TORREGROSSA")+COUNTIF($I$4:$I$38,"TORREGROSSA")</f>
        <v>10</v>
      </c>
      <c r="F49" s="347">
        <f>COUNTIF($D$4:$D$38,"TORREGROSSA")+COUNTIF($G$4:$G$38,"TORREGROSSA")</f>
        <v>3</v>
      </c>
      <c r="G49" s="347">
        <f>COUNTIF($E$4:$E$38,"TORREGROSSA")</f>
        <v>0</v>
      </c>
      <c r="H49" s="347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7">
        <f>COUNTIF($C$4:$C$38,"BALLOT")+COUNTIF($F$4:$F$38,"BALLOT")+COUNTIF($I$4:$I$38,"BALLOT")+COUNTIF($K$4:$K$38,"BALLOT")</f>
        <v>1</v>
      </c>
      <c r="F50" s="347">
        <f>COUNTIF($D$4:$D$38,"BALLOT")+COUNTIF($G$4:$G$38,"BALLOT")</f>
        <v>0</v>
      </c>
      <c r="G50" s="347">
        <f>COUNTIF($E$4:$E$38,"BALLOT")</f>
        <v>2</v>
      </c>
      <c r="H50" s="347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7">
        <f>COUNTIF($C$4:$C$38,"MOREL")+COUNTIF($F$4:$F$38,"MOREL")+COUNTIF($I$4:$I$38,"MOREL")+COUNTIF($K$4:$K$38,"MOREL")</f>
        <v>8</v>
      </c>
      <c r="F51" s="347">
        <f>COUNTIF($D$4:$D$38,"MOREL")+COUNTIF($G$4:$G$38,"MOREL")</f>
        <v>0</v>
      </c>
      <c r="G51" s="347">
        <f>COUNTIF($E$4:$E$38,"MOREL")</f>
        <v>0</v>
      </c>
      <c r="H51" s="347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7">
        <f>COUNTIF($C$4:$C$38,"RACHIDI")+COUNTIF($F$4:$F$38,"RACHIDI")+COUNTIF($I$4:$I$38,"RACHIDI")+COUNTIF($K$4:$K$38,"RACHIDI")</f>
        <v>6</v>
      </c>
      <c r="F52" s="347">
        <f>COUNTIF($D$4:$D$38,"RACHIDI")+COUNTIF($G$4:$G$38,"RACHIDI")</f>
        <v>8</v>
      </c>
      <c r="G52" s="347">
        <f>COUNTIF($E$4:$E$38,"RACHIDI")</f>
        <v>0</v>
      </c>
      <c r="H52" s="347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7">
        <f>COUNTIF($C$4:$C$38,"ZEBICHE")+COUNTIF($F$4:$F$38,"ZEBICHE")+COUNTIF($I$4:$I$38,"ZEBICHE")+COUNTIF($K$4:$K$38,"ZEBICHE")</f>
        <v>9</v>
      </c>
      <c r="F53" s="347">
        <f>COUNTIF($D$4:$D$38,"ZEBICHE")+COUNTIF($G$4:$G$38,"ZEBICHE")</f>
        <v>9</v>
      </c>
      <c r="G53" s="347">
        <f>COUNTIF($E$4:$E$38,"ZEBICHE")</f>
        <v>0</v>
      </c>
      <c r="H53" s="347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7">
        <f>COUNTIF($C$4:$C$38,"HACHIMI")+COUNTIF($F$4:$F$38,"HACHIMI")+COUNTIF($H$4:$H$38,"HACHIMI")+COUNTIF($I$4:$I$38,"HACHIMI")+H65+COUNTIF($K$4:$K$38,"HACHIMI")</f>
        <v>5</v>
      </c>
      <c r="F54" s="347">
        <v>5</v>
      </c>
      <c r="G54" s="347">
        <f>COUNTIF($E$4:$E$38,"HACHIMI")</f>
        <v>0</v>
      </c>
      <c r="H54" s="347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7">
        <f>COUNTIF($C$4:$C$38,"BIENDOUX")+COUNTIF($F$4:$F$38,"BIENDOUX")+COUNTIF($H$4:$H$38,"BIENDOUX")+COUNTIF($I$4:$I$38,"BIENDOUX")+H66+COUNTIF($K$4:$K$38,"BIENDOUX")</f>
        <v>14</v>
      </c>
      <c r="F55" s="347">
        <v>5</v>
      </c>
      <c r="G55" s="347">
        <f>COUNTIF($E$4:$E$38,"BIENDOUX")</f>
        <v>1</v>
      </c>
      <c r="H55" s="347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7">
        <v>9</v>
      </c>
      <c r="G56" s="347">
        <f>COUNTIF($E$4:$E$38,"AFZAL")</f>
        <v>1</v>
      </c>
      <c r="H56" s="347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7">
        <v>8</v>
      </c>
      <c r="F57" s="347">
        <v>9</v>
      </c>
      <c r="G57" s="347">
        <f>COUNTIF($E$4:$E$38,"IBRAHIM")</f>
        <v>3</v>
      </c>
      <c r="H57" s="347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7">
        <f>COUNTIF($D$4:$D$38,"IMAD")+COUNTIF($H$4:$H$38,"IMAD")+COUNTIF($G$4:$G$38,"IMAD")</f>
        <v>3</v>
      </c>
      <c r="G58" s="347">
        <f>COUNTIF($E$4:$E$38,"IMAD")</f>
        <v>1</v>
      </c>
      <c r="H58" s="347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7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7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7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47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6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50" t="s">
        <v>57</v>
      </c>
      <c r="D63" s="350"/>
      <c r="E63" s="350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43" t="s">
        <v>38</v>
      </c>
      <c r="C65" s="344">
        <f>MAI!L37+JUIN!L44+JUILLET!K37+AOUT!K42</f>
        <v>553.79999999999995</v>
      </c>
      <c r="D65" s="342">
        <f>MAI!M37+JUIN!M44+JUILLET!L37+AOUT!L42</f>
        <v>558</v>
      </c>
      <c r="E65" s="345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9" t="s">
        <v>36</v>
      </c>
      <c r="C66" s="342">
        <f>MAI!L38+JUIN!L45+JUILLET!K38+AOUT!K43</f>
        <v>631.79999999999995</v>
      </c>
      <c r="D66" s="342">
        <f>MAI!M38+JUIN!M45+JUILLET!L38+AOUT!L43</f>
        <v>830</v>
      </c>
      <c r="E66" s="341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43" t="s">
        <v>21</v>
      </c>
      <c r="C67" s="342">
        <f>MAI!L39+JUIN!L46+JUILLET!K39+AOUT!K44</f>
        <v>245.7</v>
      </c>
      <c r="D67" s="342">
        <f>MAI!M39+JUIN!M46+JUILLET!L39+AOUT!L44</f>
        <v>254</v>
      </c>
      <c r="E67" s="341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43" t="s">
        <v>31</v>
      </c>
      <c r="C68" s="342">
        <f>MAI!L40+JUIN!L47+JUILLET!K40+AOUT!K45</f>
        <v>424.32</v>
      </c>
      <c r="D68" s="342">
        <f>MAI!M40+JUIN!M47+JUILLET!L40+AOUT!L45</f>
        <v>486</v>
      </c>
      <c r="E68" s="341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41" t="s">
        <v>28</v>
      </c>
      <c r="C69" s="342">
        <f>MAI!L41+JUIN!L48+JUILLET!K41+AOUT!K46</f>
        <v>327.60000000000002</v>
      </c>
      <c r="D69" s="342">
        <f>MAI!M41+JUIN!M48+JUILLET!L41+AOUT!L46</f>
        <v>422</v>
      </c>
      <c r="E69" s="341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41" t="s">
        <v>42</v>
      </c>
      <c r="C70" s="342">
        <f>MAI!L42+JUIN!L49+JUILLET!K42+AOUT!K47</f>
        <v>514.79999999999995</v>
      </c>
      <c r="D70" s="342">
        <f>MAI!M42+JUIN!M49+JUILLET!L42+AOUT!L47</f>
        <v>542</v>
      </c>
      <c r="E70" s="341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41" t="s">
        <v>47</v>
      </c>
      <c r="C71" s="342">
        <f>MAI!L43+JUIN!L50+JUILLET!K43+AOUT!K48</f>
        <v>319.79999999999995</v>
      </c>
      <c r="D71" s="342">
        <f>MAI!M43+JUIN!M50+JUILLET!L43+AOUT!L48</f>
        <v>348</v>
      </c>
      <c r="E71" s="341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41" t="s">
        <v>20</v>
      </c>
      <c r="C72" s="342">
        <f>MAI!L44+JUIN!L51+JUILLET!K44+AOUT!K49</f>
        <v>522.59999999999991</v>
      </c>
      <c r="D72" s="342">
        <f>MAI!M44+JUIN!M51+JUILLET!L44+AOUT!L49</f>
        <v>600</v>
      </c>
      <c r="E72" s="341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41" t="s">
        <v>19</v>
      </c>
      <c r="C73" s="342">
        <f>+MAI!L45+JUIN!L52+JUILLET!K45+AOUT!K50</f>
        <v>227.76000000000002</v>
      </c>
      <c r="D73" s="342">
        <f>MAI!M45+JUIN!M52+JUILLET!L45+AOUT!L50</f>
        <v>230</v>
      </c>
      <c r="E73" s="341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41" t="s">
        <v>37</v>
      </c>
      <c r="C74" s="342">
        <f>MAI!L46+JUIN!L53+JUILLET!K46+AOUT!K51</f>
        <v>237.12</v>
      </c>
      <c r="D74" s="342">
        <f>MAI!M46+JUIN!M53+JUILLET!L46+AOUT!L51</f>
        <v>270</v>
      </c>
      <c r="E74" s="341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41" t="s">
        <v>27</v>
      </c>
      <c r="C75" s="342">
        <f>MAI!L47+JUIN!L54+JUILLET!K47+AOUT!K52</f>
        <v>449.28</v>
      </c>
      <c r="D75" s="342">
        <f>MAI!M47+JUIN!M54+JUILLET!L47+AOUT!L52</f>
        <v>474</v>
      </c>
      <c r="E75" s="341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41" t="s">
        <v>34</v>
      </c>
      <c r="C76" s="342">
        <f>MAI!L48+JUIN!L55+JUILLET!K48+AOUT!K53</f>
        <v>592.79999999999995</v>
      </c>
      <c r="D76" s="342">
        <f>MAI!M48+JUIN!M55+JUILLET!L48+AOUT!L53</f>
        <v>682</v>
      </c>
      <c r="E76" s="341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41" t="s">
        <v>22</v>
      </c>
      <c r="C77" s="342">
        <f>MAI!L49+JUIN!L56+JUILLET!K49+AOUT!K54</f>
        <v>553.79999999999995</v>
      </c>
      <c r="D77" s="342">
        <f>MAI!M49+JUIN!M56+JUILLET!L49+AOUT!L54</f>
        <v>696</v>
      </c>
      <c r="E77" s="341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41" t="s">
        <v>29</v>
      </c>
      <c r="C78" s="342">
        <f>MAI!L50+JUIN!L57+JUILLET!K50+AOUT!K55</f>
        <v>616.20000000000005</v>
      </c>
      <c r="D78" s="342">
        <f>MAI!M50+JUIN!M57+JUILLET!L50+AOUT!L55</f>
        <v>820</v>
      </c>
      <c r="E78" s="341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41" t="s">
        <v>48</v>
      </c>
      <c r="C79" s="342">
        <f>MAI!L51+JUIN!L58+JUILLET!K51+AOUT!K56</f>
        <v>670.8</v>
      </c>
      <c r="D79" s="342">
        <f>MAI!M51+JUIN!M58+JUILLET!L51+AOUT!L56</f>
        <v>902</v>
      </c>
      <c r="E79" s="341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41" t="s">
        <v>44</v>
      </c>
      <c r="C80" s="342">
        <f>MAI!L52+JUIN!L59+JUILLET!K52+AOUT!K57</f>
        <v>592.79999999999995</v>
      </c>
      <c r="D80" s="342">
        <f>MAI!M52+JUIN!M59+JUILLET!L52+AOUT!L57</f>
        <v>688</v>
      </c>
      <c r="E80" s="341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41" t="s">
        <v>23</v>
      </c>
      <c r="C81" s="342">
        <f>MAI!L53+JUIN!L60+JUILLET!K53+AOUT!K58</f>
        <v>569.4</v>
      </c>
      <c r="D81" s="342">
        <f>MAI!M53+JUIN!M60+JUILLET!L53+AOUT!L58</f>
        <v>593</v>
      </c>
      <c r="E81" s="341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41" t="s">
        <v>32</v>
      </c>
      <c r="C82" s="342">
        <f>MAI!L54+JUIN!L61+JUILLET!K54+AOUT!K59</f>
        <v>624</v>
      </c>
      <c r="D82" s="342">
        <f>MAI!M54+JUIN!M61+JUILLET!L54+AOUT!L59</f>
        <v>780</v>
      </c>
      <c r="E82" s="341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41" t="s">
        <v>102</v>
      </c>
      <c r="C83" s="342">
        <f>MAI!L55+JUIN!L62+JUILLET!K55+AOUT!K60</f>
        <v>670.8</v>
      </c>
      <c r="D83" s="342">
        <f>MAI!M55+JUIN!M62+JUILLET!L55+AOUT!L60</f>
        <v>750</v>
      </c>
      <c r="E83" s="341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9" t="s">
        <v>168</v>
      </c>
      <c r="C84" s="340">
        <f>MAI!L56+JUILLET!K56+AOUT!K61</f>
        <v>261.89999999999998</v>
      </c>
      <c r="D84" s="340">
        <f>MAI!M56+JUILLET!L56+AOUT!L61</f>
        <v>328</v>
      </c>
      <c r="E84" s="339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23" zoomScale="111" zoomScaleNormal="111" workbookViewId="0">
      <selection activeCell="K21" sqref="K2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1" t="s">
        <v>189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6"/>
      <c r="J2" s="354" t="s">
        <v>4</v>
      </c>
      <c r="K2" s="354"/>
      <c r="L2" s="354"/>
      <c r="M2" s="354"/>
      <c r="N2" s="354"/>
      <c r="O2" s="35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1" t="s">
        <v>22</v>
      </c>
      <c r="G4" s="331" t="s">
        <v>22</v>
      </c>
      <c r="H4" s="36" t="s">
        <v>21</v>
      </c>
      <c r="I4" s="274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2" t="s">
        <v>22</v>
      </c>
      <c r="G9" s="332" t="s">
        <v>22</v>
      </c>
      <c r="H9" s="154" t="s">
        <v>21</v>
      </c>
      <c r="I9" s="129"/>
      <c r="J9" s="42"/>
      <c r="K9" s="43"/>
      <c r="L9" s="275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5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1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1" t="s">
        <v>22</v>
      </c>
      <c r="G12" s="331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1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1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6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6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1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276" t="s">
        <v>20</v>
      </c>
      <c r="I21" s="32"/>
      <c r="J21" s="276"/>
      <c r="K21" s="276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1" t="s">
        <v>22</v>
      </c>
      <c r="D22" s="331" t="s">
        <v>22</v>
      </c>
      <c r="E22" s="33" t="s">
        <v>31</v>
      </c>
      <c r="F22" s="104" t="s">
        <v>102</v>
      </c>
      <c r="G22" s="33" t="s">
        <v>36</v>
      </c>
      <c r="H22" s="104" t="s">
        <v>168</v>
      </c>
      <c r="I22" s="32"/>
      <c r="J22" s="10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4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7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7"/>
      <c r="K26" s="36"/>
      <c r="L26" s="277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104" t="s">
        <v>102</v>
      </c>
      <c r="H27" s="104" t="s">
        <v>168</v>
      </c>
      <c r="I27" s="27"/>
      <c r="J27" s="338"/>
      <c r="K27" s="64"/>
      <c r="L27" s="277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3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7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7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8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54" t="s">
        <v>53</v>
      </c>
      <c r="B33" s="354"/>
      <c r="C33" s="354"/>
      <c r="D33" s="35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0" t="s">
        <v>57</v>
      </c>
      <c r="M35" s="350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8" t="s">
        <v>64</v>
      </c>
      <c r="J36" s="348" t="s">
        <v>65</v>
      </c>
      <c r="K36" s="348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8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0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80">
        <v>1</v>
      </c>
      <c r="E54" s="281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158</v>
      </c>
      <c r="M54" s="238">
        <f t="shared" si="2"/>
        <v>25.400000000000006</v>
      </c>
      <c r="N54" s="57"/>
    </row>
    <row r="55" spans="1:21" ht="12" customHeight="1">
      <c r="A55" s="3"/>
      <c r="B55" s="96"/>
      <c r="C55" s="86" t="s">
        <v>102</v>
      </c>
      <c r="D55" s="280">
        <v>1</v>
      </c>
      <c r="E55" s="281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>
      <c r="A56" s="3"/>
      <c r="B56" s="96"/>
      <c r="C56" s="86" t="s">
        <v>168</v>
      </c>
      <c r="D56" s="280">
        <v>1</v>
      </c>
      <c r="E56" s="281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194</v>
      </c>
      <c r="M56" s="238">
        <f t="shared" si="2"/>
        <v>61.400000000000006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I22:J23 J17:L17 F18:G18 I18:K21 G19:G20 E20:F20 C21:E21 C22:D22 F22:G25 E7:H7 E28:H29 H24:J25 C25:D28 K22:K26 E26:J27 J28:K28 I29:K29 D30:K30 H17:H22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26" sqref="J2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1" t="s">
        <v>196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6"/>
      <c r="J2" s="354" t="s">
        <v>4</v>
      </c>
      <c r="K2" s="354"/>
      <c r="L2" s="354"/>
      <c r="M2" s="354"/>
      <c r="N2" s="354"/>
      <c r="O2" s="35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2" t="s">
        <v>34</v>
      </c>
      <c r="D5" s="282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2" t="s">
        <v>36</v>
      </c>
      <c r="D8" s="282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119" t="s">
        <v>102</v>
      </c>
      <c r="J8" s="51" t="s">
        <v>29</v>
      </c>
      <c r="K8" s="52" t="s">
        <v>20</v>
      </c>
      <c r="L8" s="172" t="s">
        <v>202</v>
      </c>
      <c r="M8" s="34"/>
      <c r="N8" s="49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7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7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2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6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8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3" t="s">
        <v>38</v>
      </c>
      <c r="D17" s="283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20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2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2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6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4" t="s">
        <v>26</v>
      </c>
      <c r="B26" s="22">
        <v>45957</v>
      </c>
      <c r="C26" s="282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52" t="s">
        <v>20</v>
      </c>
      <c r="K26" s="32"/>
      <c r="L26" s="30" t="s">
        <v>205</v>
      </c>
      <c r="M26" s="30"/>
      <c r="N26" s="276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6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2" t="s">
        <v>36</v>
      </c>
      <c r="D28" s="282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6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2" t="s">
        <v>34</v>
      </c>
      <c r="D29" s="282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6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5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6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54" t="s">
        <v>53</v>
      </c>
      <c r="B33" s="354"/>
      <c r="C33" s="354"/>
      <c r="D33" s="354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0" t="s">
        <v>57</v>
      </c>
      <c r="M35" s="350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8" t="s">
        <v>64</v>
      </c>
      <c r="J36" s="348" t="s">
        <v>65</v>
      </c>
      <c r="K36" s="348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7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9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0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0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0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190</v>
      </c>
      <c r="M44" s="238">
        <f t="shared" si="2"/>
        <v>34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0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0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7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0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0">
        <v>1</v>
      </c>
      <c r="E55" s="84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190</v>
      </c>
      <c r="M55" s="86">
        <f t="shared" si="2"/>
        <v>57.400000000000006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0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29" zoomScale="112" zoomScaleNormal="112" workbookViewId="0">
      <selection activeCell="I63" sqref="I6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1" t="s">
        <v>207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6"/>
      <c r="J2" s="354" t="s">
        <v>4</v>
      </c>
      <c r="K2" s="354"/>
      <c r="L2" s="354"/>
      <c r="M2" s="354"/>
      <c r="N2" s="354"/>
      <c r="O2" s="35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8" t="s">
        <v>32</v>
      </c>
      <c r="H4" s="52" t="s">
        <v>42</v>
      </c>
      <c r="I4" s="289" t="s">
        <v>209</v>
      </c>
      <c r="J4" s="27" t="s">
        <v>38</v>
      </c>
      <c r="K4" s="28"/>
      <c r="L4" s="172" t="s">
        <v>210</v>
      </c>
      <c r="M4" s="30"/>
      <c r="N4" s="28"/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8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8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3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0" t="s">
        <v>20</v>
      </c>
      <c r="D9" s="290" t="s">
        <v>20</v>
      </c>
      <c r="E9" s="33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0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0" t="s">
        <v>34</v>
      </c>
      <c r="G10" s="290" t="s">
        <v>34</v>
      </c>
      <c r="H10" s="288" t="s">
        <v>32</v>
      </c>
      <c r="I10" s="289" t="s">
        <v>209</v>
      </c>
      <c r="J10" s="42"/>
      <c r="K10" s="43"/>
      <c r="L10" s="44"/>
      <c r="M10" s="44"/>
      <c r="N10" s="178"/>
      <c r="O10" s="320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8" t="s">
        <v>32</v>
      </c>
      <c r="D11" s="288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9" t="s">
        <v>209</v>
      </c>
      <c r="J11" s="24" t="s">
        <v>29</v>
      </c>
      <c r="K11" s="28"/>
      <c r="L11" s="172" t="s">
        <v>210</v>
      </c>
      <c r="M11" s="34"/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1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7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8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0" t="s">
        <v>34</v>
      </c>
      <c r="G16" s="290" t="s">
        <v>34</v>
      </c>
      <c r="H16" s="39" t="s">
        <v>21</v>
      </c>
      <c r="I16" s="39"/>
      <c r="J16" s="42"/>
      <c r="K16" s="43"/>
      <c r="L16" s="55"/>
      <c r="M16" s="55"/>
      <c r="N16" s="135"/>
      <c r="O16" s="321"/>
      <c r="P16" s="313"/>
      <c r="Q16" s="313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3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9" t="s">
        <v>209</v>
      </c>
      <c r="J17" s="42"/>
      <c r="K17" s="43"/>
      <c r="L17" s="55"/>
      <c r="M17" s="55"/>
      <c r="N17" s="135"/>
      <c r="O17" s="321"/>
      <c r="P17" s="319"/>
      <c r="Q17" s="313"/>
      <c r="R17" s="3"/>
      <c r="S17" s="3"/>
      <c r="T17" s="3"/>
    </row>
    <row r="18" spans="1:24" ht="12.75" customHeight="1">
      <c r="A18" s="21" t="s">
        <v>18</v>
      </c>
      <c r="B18" s="291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9" t="s">
        <v>209</v>
      </c>
      <c r="J18" s="24" t="s">
        <v>48</v>
      </c>
      <c r="K18" s="32"/>
      <c r="L18" s="30" t="s">
        <v>156</v>
      </c>
      <c r="M18" s="30"/>
      <c r="N18" s="28"/>
      <c r="O18" s="315"/>
      <c r="P18" s="319"/>
      <c r="Q18" s="313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5"/>
      <c r="P19" s="319"/>
      <c r="Q19" s="313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8" t="s">
        <v>32</v>
      </c>
      <c r="F20" s="311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5"/>
      <c r="P20" s="319"/>
      <c r="Q20" s="313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8" t="s">
        <v>32</v>
      </c>
      <c r="F21" s="311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5"/>
      <c r="P21" s="319"/>
      <c r="Q21" s="313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8" t="s">
        <v>32</v>
      </c>
      <c r="F22" s="311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5"/>
      <c r="P22" s="319"/>
      <c r="Q22" s="313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1"/>
      <c r="P23" s="319"/>
      <c r="Q23" s="313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2" t="s">
        <v>102</v>
      </c>
      <c r="J24" s="42"/>
      <c r="K24" s="43"/>
      <c r="L24" s="55"/>
      <c r="M24" s="55"/>
      <c r="N24" s="135"/>
      <c r="O24" s="321"/>
      <c r="P24" s="319"/>
      <c r="Q24" s="319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2" t="s">
        <v>44</v>
      </c>
      <c r="J25" s="24" t="s">
        <v>48</v>
      </c>
      <c r="K25" s="32"/>
      <c r="L25" s="30"/>
      <c r="M25" s="30"/>
      <c r="N25" s="28" t="s">
        <v>212</v>
      </c>
      <c r="O25" s="315"/>
      <c r="P25" s="313"/>
      <c r="Q25" s="319"/>
      <c r="R25" s="3"/>
      <c r="S25" s="3"/>
      <c r="T25" s="3"/>
    </row>
    <row r="26" spans="1:24" ht="13.5" customHeight="1">
      <c r="A26" s="195" t="s">
        <v>26</v>
      </c>
      <c r="B26" s="293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5"/>
      <c r="P26" s="313"/>
      <c r="Q26" s="319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5"/>
      <c r="P27" s="313"/>
      <c r="Q27" s="319"/>
      <c r="R27" s="3"/>
      <c r="S27" s="3"/>
      <c r="T27" s="3"/>
    </row>
    <row r="28" spans="1:24" ht="12.75" customHeight="1">
      <c r="A28" s="170" t="s">
        <v>33</v>
      </c>
      <c r="B28" s="294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5"/>
      <c r="P28" s="313"/>
      <c r="Q28" s="319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5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6"/>
      <c r="L29" s="180"/>
      <c r="M29" s="30"/>
      <c r="N29" s="28" t="s">
        <v>212</v>
      </c>
      <c r="O29" s="315"/>
      <c r="P29" s="313"/>
      <c r="Q29" s="319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3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1"/>
      <c r="P30" s="313"/>
      <c r="Q30" s="319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2" t="s">
        <v>168</v>
      </c>
      <c r="J31" s="42"/>
      <c r="K31" s="43"/>
      <c r="L31" s="185"/>
      <c r="M31" s="44"/>
      <c r="N31" s="135"/>
      <c r="O31" s="321"/>
      <c r="P31" s="313"/>
      <c r="Q31" s="319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7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2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5"/>
      <c r="P32" s="313"/>
      <c r="Q32" s="319"/>
    </row>
    <row r="33" spans="1:17" ht="12.75" customHeight="1">
      <c r="A33" s="284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5"/>
      <c r="P33" s="313"/>
      <c r="Q33" s="319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5"/>
      <c r="P34" s="313"/>
      <c r="Q34" s="319"/>
    </row>
    <row r="35" spans="1:17" ht="12.75" customHeight="1">
      <c r="A35" s="21" t="s">
        <v>33</v>
      </c>
      <c r="B35" s="22">
        <v>45994</v>
      </c>
      <c r="C35" s="298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5"/>
      <c r="P35" s="313"/>
      <c r="Q35" s="319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6"/>
      <c r="L36" s="30" t="s">
        <v>52</v>
      </c>
      <c r="M36" s="30"/>
      <c r="N36" s="28" t="s">
        <v>213</v>
      </c>
      <c r="O36" s="315"/>
      <c r="P36" s="313"/>
      <c r="Q36" s="319"/>
    </row>
    <row r="37" spans="1:17" ht="12.75" customHeight="1">
      <c r="A37" s="37" t="s">
        <v>41</v>
      </c>
      <c r="B37" s="38">
        <v>45996</v>
      </c>
      <c r="C37" s="290" t="s">
        <v>20</v>
      </c>
      <c r="D37" s="290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1"/>
      <c r="P37" s="313"/>
      <c r="Q37" s="319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2" t="s">
        <v>23</v>
      </c>
      <c r="J38" s="42"/>
      <c r="K38" s="43"/>
      <c r="L38" s="185"/>
      <c r="M38" s="44"/>
      <c r="N38" s="135"/>
      <c r="O38" s="321"/>
      <c r="P38" s="313"/>
      <c r="Q38" s="319"/>
    </row>
    <row r="39" spans="1:17" ht="12.75" customHeight="1">
      <c r="B39" s="71"/>
      <c r="F39" s="20"/>
      <c r="N39" s="57"/>
      <c r="O39" s="31"/>
    </row>
    <row r="40" spans="1:17" ht="12.75" customHeight="1">
      <c r="A40" s="354" t="s">
        <v>53</v>
      </c>
      <c r="B40" s="354"/>
      <c r="C40" s="354"/>
      <c r="D40" s="354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0" t="s">
        <v>57</v>
      </c>
      <c r="M42" s="350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8" t="s">
        <v>64</v>
      </c>
      <c r="J43" s="348" t="s">
        <v>65</v>
      </c>
      <c r="K43" s="348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9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9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9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0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0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0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0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0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0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0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0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0">
        <v>1</v>
      </c>
      <c r="E56" s="281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0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0">
        <v>1</v>
      </c>
      <c r="E58" s="281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0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0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0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214</v>
      </c>
      <c r="M61" s="327">
        <f t="shared" si="2"/>
        <v>50.200000000000017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0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102</v>
      </c>
      <c r="M62" s="240">
        <f t="shared" si="2"/>
        <v>-61.799999999999983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0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L29" sqref="L29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1" t="s">
        <v>214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6"/>
      <c r="J2" s="354" t="s">
        <v>4</v>
      </c>
      <c r="K2" s="354"/>
      <c r="L2" s="354"/>
      <c r="M2" s="354"/>
      <c r="N2" s="354"/>
      <c r="O2" s="35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0" t="s">
        <v>29</v>
      </c>
      <c r="H4" s="300" t="s">
        <v>168</v>
      </c>
      <c r="I4" s="119" t="s">
        <v>44</v>
      </c>
      <c r="J4" s="300" t="s">
        <v>29</v>
      </c>
      <c r="K4" s="48" t="s">
        <v>20</v>
      </c>
      <c r="L4" s="27" t="s">
        <v>156</v>
      </c>
      <c r="M4" s="30"/>
      <c r="N4" s="276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0" t="s">
        <v>22</v>
      </c>
      <c r="D5" s="300" t="s">
        <v>22</v>
      </c>
      <c r="E5" s="300" t="s">
        <v>23</v>
      </c>
      <c r="F5" s="300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6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0" t="s">
        <v>48</v>
      </c>
      <c r="H6" s="300" t="s">
        <v>48</v>
      </c>
      <c r="I6" s="32"/>
      <c r="J6" s="48" t="s">
        <v>31</v>
      </c>
      <c r="K6" s="36"/>
      <c r="L6" s="172" t="s">
        <v>156</v>
      </c>
      <c r="M6" s="34"/>
      <c r="N6" s="276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0" t="s">
        <v>22</v>
      </c>
      <c r="G7" s="48" t="s">
        <v>31</v>
      </c>
      <c r="H7" s="300" t="s">
        <v>102</v>
      </c>
      <c r="I7" s="301"/>
      <c r="J7" s="300" t="s">
        <v>29</v>
      </c>
      <c r="K7" s="28"/>
      <c r="L7" s="172" t="s">
        <v>156</v>
      </c>
      <c r="M7" s="34"/>
      <c r="N7" s="276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0" t="s">
        <v>102</v>
      </c>
      <c r="H8" s="300" t="s">
        <v>102</v>
      </c>
      <c r="I8" s="27"/>
      <c r="J8" s="300" t="s">
        <v>44</v>
      </c>
      <c r="K8" s="36"/>
      <c r="L8" s="172" t="s">
        <v>156</v>
      </c>
      <c r="M8" s="34"/>
      <c r="N8" s="276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0" t="s">
        <v>44</v>
      </c>
      <c r="F9" s="300" t="s">
        <v>29</v>
      </c>
      <c r="G9" s="300" t="s">
        <v>29</v>
      </c>
      <c r="H9" s="302" t="s">
        <v>48</v>
      </c>
      <c r="I9" s="39"/>
      <c r="J9" s="303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3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0" t="s">
        <v>29</v>
      </c>
      <c r="H11" s="33" t="s">
        <v>27</v>
      </c>
      <c r="I11" s="119" t="s">
        <v>102</v>
      </c>
      <c r="J11" s="300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0" t="s">
        <v>22</v>
      </c>
      <c r="G12" s="300" t="s">
        <v>28</v>
      </c>
      <c r="H12" s="300" t="s">
        <v>28</v>
      </c>
      <c r="I12" s="32"/>
      <c r="J12" s="300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0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0" t="s">
        <v>48</v>
      </c>
      <c r="H14" s="300" t="s">
        <v>48</v>
      </c>
      <c r="I14" s="32"/>
      <c r="J14" s="300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0" t="s">
        <v>102</v>
      </c>
      <c r="F15" s="300" t="s">
        <v>44</v>
      </c>
      <c r="G15" s="300" t="s">
        <v>44</v>
      </c>
      <c r="H15" s="300" t="s">
        <v>23</v>
      </c>
      <c r="I15" s="32"/>
      <c r="J15" s="300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3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0" t="s">
        <v>48</v>
      </c>
      <c r="I17" s="119" t="s">
        <v>44</v>
      </c>
      <c r="J17" s="303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0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0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0" t="s">
        <v>168</v>
      </c>
      <c r="F19" s="300" t="s">
        <v>102</v>
      </c>
      <c r="G19" s="33" t="s">
        <v>42</v>
      </c>
      <c r="H19" s="33" t="s">
        <v>42</v>
      </c>
      <c r="I19" s="27"/>
      <c r="J19" s="300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0" t="s">
        <v>23</v>
      </c>
      <c r="G20" s="300" t="s">
        <v>23</v>
      </c>
      <c r="H20" s="142" t="s">
        <v>21</v>
      </c>
      <c r="I20" s="304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0" t="s">
        <v>32</v>
      </c>
      <c r="F21" s="300" t="s">
        <v>102</v>
      </c>
      <c r="G21" s="300" t="s">
        <v>102</v>
      </c>
      <c r="H21" s="48" t="s">
        <v>28</v>
      </c>
      <c r="I21" s="193"/>
      <c r="J21" s="300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0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0" t="s">
        <v>22</v>
      </c>
      <c r="F23" s="300" t="s">
        <v>48</v>
      </c>
      <c r="G23" s="300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0" t="s">
        <v>32</v>
      </c>
      <c r="F24" s="300" t="s">
        <v>29</v>
      </c>
      <c r="G24" s="300" t="s">
        <v>29</v>
      </c>
      <c r="H24" s="300" t="s">
        <v>168</v>
      </c>
      <c r="I24" s="292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5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0" t="s">
        <v>44</v>
      </c>
      <c r="F25" s="300" t="s">
        <v>32</v>
      </c>
      <c r="G25" s="300" t="s">
        <v>32</v>
      </c>
      <c r="H25" s="300" t="s">
        <v>23</v>
      </c>
      <c r="I25" s="292" t="s">
        <v>168</v>
      </c>
      <c r="J25" s="328"/>
      <c r="K25" s="28"/>
      <c r="L25" s="306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0" t="s">
        <v>23</v>
      </c>
      <c r="F26" s="300" t="s">
        <v>44</v>
      </c>
      <c r="G26" s="48" t="s">
        <v>28</v>
      </c>
      <c r="H26" s="48" t="s">
        <v>28</v>
      </c>
      <c r="I26" s="32"/>
      <c r="J26" s="300" t="s">
        <v>22</v>
      </c>
      <c r="K26" s="36"/>
      <c r="L26" s="306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0" t="s">
        <v>32</v>
      </c>
      <c r="F27" s="300" t="s">
        <v>168</v>
      </c>
      <c r="G27" s="300" t="s">
        <v>168</v>
      </c>
      <c r="H27" s="300" t="s">
        <v>22</v>
      </c>
      <c r="I27" s="27"/>
      <c r="J27" s="300" t="s">
        <v>29</v>
      </c>
      <c r="K27" s="64"/>
      <c r="L27" s="306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0" t="s">
        <v>23</v>
      </c>
      <c r="F28" s="300" t="s">
        <v>102</v>
      </c>
      <c r="G28" s="300" t="s">
        <v>102</v>
      </c>
      <c r="H28" s="300" t="s">
        <v>32</v>
      </c>
      <c r="I28" s="48"/>
      <c r="J28" s="300" t="s">
        <v>29</v>
      </c>
      <c r="K28" s="48"/>
      <c r="L28" s="306" t="s">
        <v>219</v>
      </c>
      <c r="M28" s="277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0" t="s">
        <v>168</v>
      </c>
      <c r="F29" s="300" t="s">
        <v>22</v>
      </c>
      <c r="G29" s="300" t="s">
        <v>22</v>
      </c>
      <c r="H29" s="300" t="s">
        <v>44</v>
      </c>
      <c r="I29" s="39"/>
      <c r="J29" s="39"/>
      <c r="K29" s="307"/>
      <c r="L29" s="308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0" t="s">
        <v>44</v>
      </c>
      <c r="F30" s="300" t="s">
        <v>23</v>
      </c>
      <c r="G30" s="300" t="s">
        <v>23</v>
      </c>
      <c r="H30" s="300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0" t="s">
        <v>32</v>
      </c>
      <c r="G31" s="300" t="s">
        <v>32</v>
      </c>
      <c r="H31" s="309" t="s">
        <v>36</v>
      </c>
      <c r="I31" s="292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54" t="s">
        <v>53</v>
      </c>
      <c r="B33" s="354"/>
      <c r="C33" s="354"/>
      <c r="D33" s="35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0" t="s">
        <v>57</v>
      </c>
      <c r="M35" s="350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8" t="s">
        <v>64</v>
      </c>
      <c r="J36" s="348" t="s">
        <v>65</v>
      </c>
      <c r="K36" s="348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86" t="s">
        <v>32</v>
      </c>
      <c r="D54" s="28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162" t="s">
        <v>102</v>
      </c>
      <c r="D55" s="280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172</v>
      </c>
      <c r="M55" s="238">
        <f t="shared" si="2"/>
        <v>55</v>
      </c>
    </row>
    <row r="56" spans="1:15" ht="12" customHeight="1">
      <c r="A56" s="3"/>
      <c r="B56" s="96"/>
      <c r="C56" s="188" t="s">
        <v>168</v>
      </c>
      <c r="D56" s="280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196</v>
      </c>
      <c r="M56" s="238">
        <f t="shared" si="2"/>
        <v>79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8" t="s">
        <v>68</v>
      </c>
      <c r="F57" s="72"/>
      <c r="G57" s="96"/>
      <c r="H57" s="310"/>
      <c r="I57" s="310"/>
      <c r="J57" s="310"/>
      <c r="K57" s="310"/>
      <c r="L57" s="57"/>
      <c r="M57" s="57"/>
      <c r="N57" s="57"/>
      <c r="O57" s="57"/>
    </row>
    <row r="58" spans="1:15" ht="12" customHeight="1">
      <c r="A58" s="355" t="s">
        <v>38</v>
      </c>
      <c r="B58" s="355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55" t="s">
        <v>36</v>
      </c>
      <c r="B59" s="355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55" t="s">
        <v>21</v>
      </c>
      <c r="B60" s="355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55" t="s">
        <v>31</v>
      </c>
      <c r="B61" s="355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56" t="s">
        <v>28</v>
      </c>
      <c r="B62" s="356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56" t="s">
        <v>42</v>
      </c>
      <c r="B63" s="356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56" t="s">
        <v>47</v>
      </c>
      <c r="B64" s="356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56" t="s">
        <v>20</v>
      </c>
      <c r="B65" s="356"/>
      <c r="C65" s="272">
        <f>SEPTEMBRE!K44+OCTOBRE!K44+NOVEMBRE!K51+DECEMBRE!K44</f>
        <v>561.6</v>
      </c>
      <c r="D65" s="102">
        <f>SEPTEMBRE!L44+OCTOBRE!L44+NOVEMBRE!L51+DECEMBRE!L44</f>
        <v>668</v>
      </c>
      <c r="E65" s="238">
        <f t="shared" si="5"/>
        <v>106.39999999999998</v>
      </c>
      <c r="F65" s="163">
        <f t="shared" si="4"/>
        <v>4.4333333333333327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56" t="s">
        <v>19</v>
      </c>
      <c r="B66" s="356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56" t="s">
        <v>37</v>
      </c>
      <c r="B67" s="356"/>
      <c r="C67" s="272">
        <f>SEPTEMBRE!K46+OCTOBRE!K46+NOVEMBRE!K53+DECEMBRE!K46</f>
        <v>232.44</v>
      </c>
      <c r="D67" s="102">
        <f>SEPTEMBRE!L46+OCTOBRE!L46+NOVEMBRE!L53+DECEMBRE!L46</f>
        <v>240</v>
      </c>
      <c r="E67" s="240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56" t="s">
        <v>27</v>
      </c>
      <c r="B68" s="356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56" t="s">
        <v>34</v>
      </c>
      <c r="B69" s="356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56" t="s">
        <v>22</v>
      </c>
      <c r="B70" s="356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56" t="s">
        <v>29</v>
      </c>
      <c r="B71" s="356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56" t="s">
        <v>48</v>
      </c>
      <c r="B72" s="356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56" t="s">
        <v>44</v>
      </c>
      <c r="B73" s="356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56" t="s">
        <v>23</v>
      </c>
      <c r="B74" s="356"/>
      <c r="C74" s="272">
        <f>SEPTEMBRE!K53+OCTOBRE!K53+NOVEMBRE!K60+DECEMBRE!K53</f>
        <v>530.4</v>
      </c>
      <c r="D74" s="102">
        <f>SEPTEMBRE!L53+OCTOBRE!L53+NOVEMBRE!L60+DECEMBRE!L53</f>
        <v>534</v>
      </c>
      <c r="E74" s="329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56" t="s">
        <v>32</v>
      </c>
      <c r="B75" s="356"/>
      <c r="C75" s="272">
        <f>SEPTEMBRE!K54+OCTOBRE!K54+NOVEMBRE!K61+DECEMBRE!K54</f>
        <v>546</v>
      </c>
      <c r="D75" s="102">
        <f>SEPTEMBRE!L54+OCTOBRE!L54+NOVEMBRE!L61+DECEMBRE!L54</f>
        <v>744</v>
      </c>
      <c r="E75" s="238">
        <f t="shared" si="5"/>
        <v>198</v>
      </c>
      <c r="F75" s="163">
        <f t="shared" si="4"/>
        <v>8.25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56" t="s">
        <v>102</v>
      </c>
      <c r="B76" s="356"/>
      <c r="C76" s="272">
        <f>SEPTEMBRE!K55+OCTOBRE!K55+NOVEMBRE!K62+DECEMBRE!K55</f>
        <v>546</v>
      </c>
      <c r="D76" s="102">
        <f>SEPTEMBRE!L55+OCTOBRE!L55+NOVEMBRE!L62+DECEMBRE!L55</f>
        <v>636</v>
      </c>
      <c r="E76" s="240">
        <f t="shared" si="5"/>
        <v>90</v>
      </c>
      <c r="F76" s="163">
        <f t="shared" si="4"/>
        <v>3.75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57" t="s">
        <v>168</v>
      </c>
      <c r="B77" s="357"/>
      <c r="C77" s="272">
        <f>SEPTEMBRE!K56+OCTOBRE!K56+NOVEMBRE!K63+DECEMBRE!K56</f>
        <v>546</v>
      </c>
      <c r="D77" s="102">
        <f>SEPTEMBRE!L56+OCTOBRE!L56+NOVEMBRE!L63+DECEMBRE!L56</f>
        <v>632</v>
      </c>
      <c r="E77" s="329">
        <f t="shared" si="5"/>
        <v>86</v>
      </c>
      <c r="F77" s="163">
        <f t="shared" si="4"/>
        <v>3.5833333333333335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5">
        <v>100</v>
      </c>
      <c r="I88" s="326">
        <f t="shared" si="6"/>
        <v>44</v>
      </c>
      <c r="J88" s="326">
        <f>AOUT!J91+SEPTEMBRE!I54+OCTOBRE!I54+NOVEMBRE!I61+DECEMBRE!I54</f>
        <v>27</v>
      </c>
      <c r="K88" s="326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2" t="s">
        <v>102</v>
      </c>
      <c r="H89" s="323">
        <v>100</v>
      </c>
      <c r="I89" s="323">
        <f t="shared" si="6"/>
        <v>44</v>
      </c>
      <c r="J89" s="323">
        <f>AOUT!J92+SEPTEMBRE!I55+OCTOBRE!I55+NOVEMBRE!I62+DECEMBRE!I55</f>
        <v>12</v>
      </c>
      <c r="K89" s="323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4" t="s">
        <v>168</v>
      </c>
      <c r="H90" s="323">
        <v>100</v>
      </c>
      <c r="I90" s="323">
        <f t="shared" si="6"/>
        <v>44</v>
      </c>
      <c r="J90" s="323">
        <f>AOUT!J93+SEPTEMBRE!I56+OCTOBRE!I56+NOVEMBRE!I63+DECEMBRE!I56</f>
        <v>12</v>
      </c>
      <c r="K90" s="323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Utilisateur invité</cp:lastModifiedBy>
  <cp:revision>0</cp:revision>
  <dcterms:created xsi:type="dcterms:W3CDTF">2016-04-19T20:05:50Z</dcterms:created>
  <dcterms:modified xsi:type="dcterms:W3CDTF">2026-08-26T14:38:19Z</dcterms:modified>
  <cp:category/>
  <cp:contentStatus/>
</cp:coreProperties>
</file>