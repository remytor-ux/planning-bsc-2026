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1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331" documentId="11_82001204A17853BD4102BB3957D4EBE5562A03D3" xr6:coauthVersionLast="47" xr6:coauthVersionMax="47" xr10:uidLastSave="{A45EB6E5-4343-794F-9584-28B929B6289F}"/>
  <bookViews>
    <workbookView xWindow="0" yWindow="0" windowWidth="25200" windowHeight="11865" tabRatio="500" firstSheet="9" activeTab="12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  <definedName name="_xlnm.Print_Area" localSheetId="8">AOUT!$A$1:$O$38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44" i="11" l="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H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<sst xmlns="http://schemas.openxmlformats.org/spreadsheetml/2006/main" count="4209" uniqueCount="223">
  <si>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</si>
  <si>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</si>
  <si>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</si>
  <si>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</si>
  <si>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</si>
  <si>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</si>
  <si>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</si>
  <si>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</si>
  <si>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</si>
  <si>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</si>
  <si>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</si>
  <si>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</si>
  <si>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</si>
  <si>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</si>
  <si>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</si>
  <si>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</si>
  <si>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</si>
  <si>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</si>
  <si>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</si>
  <si>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</si>
  <si>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</si>
  <si>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</si>
  <si>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</si>
  <si>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</si>
  <si>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</si>
  <si>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</si>
  <si>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</si>
  <si>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</si>
  <si>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</si>
  <si>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</si>
  <si>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</si>
  <si>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</si>
  <si>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</si>
  <si>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</si>
  <si>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</si>
  <si>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</si>
  <si>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</si>
  <si>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</si>
  <si>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</si>
  <si>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</si>
  <si>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</si>
  <si>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</si>
  <si>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</si>
  <si>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</si>
  <si>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</si>
  <si>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</si>
  <si>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</si>
  <si>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</si>
  <si>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</si>
  <si>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</si>
  <si>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</si>
  <si>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</si>
  <si>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</si>
  <si>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</si>
  <si>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</si>
  <si>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</si>
  <si>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</si>
  <si>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</si>
  <si>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</si>
  <si>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</si>
  <si>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</si>
  <si>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</si>
  <si>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</si>
  <si>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</si>
  <si>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</si>
  <si>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</si>
  <si>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</si>
  <si>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</si>
  <si>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</si>
  <si>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</si>
  <si>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</si>
  <si>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</si>
  <si>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</si>
  <si>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</si>
  <si>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</si>
  <si>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</si>
  <si>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</si>
  <si>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</si>
  <si>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</si>
  <si>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</si>
  <si>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</si>
  <si>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</si>
  <si>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</si>
  <si>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</si>
  <si>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</si>
  <si>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</si>
  <si>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</si>
  <si>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</si>
  <si>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</si>
  <si>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</si>
  <si>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</si>
  <si>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</si>
  <si>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</si>
  <si>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</si>
  <si>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</si>
  <si>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</si>
  <si>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</si>
  <si>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</si>
  <si>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</si>
  <si>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</si>
  <si>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</si>
  <si>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</si>
  <si>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</si>
  <si>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</si>
  <si>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</si>
  <si>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</si>
  <si>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</si>
  <si>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</si>
  <si>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</si>
  <si>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</si>
  <si>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</si>
  <si>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</si>
  <si>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</si>
  <si>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</si>
  <si>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</si>
  <si>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</si>
  <si>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</si>
  <si>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</si>
  <si>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</si>
  <si>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</si>
  <si>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</si>
  <si>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</si>
  <si>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</si>
  <si>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</si>
  <si>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</si>
  <si>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</si>
  <si>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</si>
  <si>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</si>
  <si>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</si>
  <si>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</si>
  <si>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</si>
  <si>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</si>
  <si>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</si>
  <si>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</si>
  <si>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</si>
  <si>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</si>
  <si>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</si>
  <si>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</si>
  <si>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</si>
  <si>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</si>
  <si>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</si>
  <si>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</si>
  <si>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</si>
  <si>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</si>
  <si>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</si>
  <si>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</si>
  <si>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</si>
  <si>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</si>
  <si>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</si>
  <si>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</si>
  <si>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</si>
  <si>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</si>
  <si>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</si>
  <si>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</si>
  <si>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</si>
  <si>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</si>
  <si>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</si>
  <si>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</si>
  <si>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</si>
  <si>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</si>
  <si>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</si>
  <si>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</si>
  <si>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</si>
  <si>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</si>
  <si>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</si>
  <si>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</si>
  <si>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</si>
  <si>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</si>
  <si>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</si>
  <si>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</si>
  <si>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</si>
  <si>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</si>
  <si>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</si>
  <si>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</si>
  <si>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</si>
  <si>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</si>
  <si>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</si>
  <si>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</si>
  <si>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</si>
  <si>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</si>
  <si>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</si>
  <si>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</si>
  <si>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</si>
  <si>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</si>
  <si>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</si>
  <si>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</si>
  <si>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</si>
  <si>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</si>
  <si>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</si>
  <si>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</si>
  <si>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</si>
  <si>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</si>
  <si>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</si>
  <si>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</si>
  <si>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</si>
  <si>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</si>
  <si>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rado/remy</t>
  </si>
  <si>
    <t>TOUNGOU</t>
  </si>
  <si>
    <t>hachimi/rado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</si>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</sst>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 x14ac:knownFonts="1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73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5" borderId="1" xfId="0" applyFont="1" applyFill="1" applyBorder="1" applyAlignment="1"/>
    <xf numFmtId="0" fontId="6" fillId="27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7" fillId="28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8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 wrapText="1"/>
    </xf>
    <xf numFmtId="0" fontId="8" fillId="14" borderId="0" xfId="0" applyFont="1" applyFill="1"/>
    <xf numFmtId="0" fontId="29" fillId="12" borderId="1" xfId="0" applyFont="1" applyFill="1" applyBorder="1" applyAlignment="1">
      <alignment horizontal="center"/>
    </xf>
    <xf numFmtId="0" fontId="4" fillId="29" borderId="1" xfId="0" applyFont="1" applyFill="1" applyBorder="1" applyAlignment="1"/>
    <xf numFmtId="0" fontId="5" fillId="29" borderId="1" xfId="0" applyFont="1" applyFill="1" applyBorder="1" applyAlignment="1">
      <alignment horizontal="center"/>
    </xf>
    <xf numFmtId="0" fontId="4" fillId="30" borderId="1" xfId="0" applyFont="1" applyFill="1" applyBorder="1" applyAlignment="1"/>
    <xf numFmtId="0" fontId="5" fillId="30" borderId="1" xfId="0" applyFont="1" applyFill="1" applyBorder="1" applyAlignment="1">
      <alignment horizontal="center"/>
    </xf>
    <xf numFmtId="0" fontId="12" fillId="30" borderId="1" xfId="0" applyFont="1" applyFill="1" applyBorder="1" applyAlignment="1"/>
    <xf numFmtId="0" fontId="5" fillId="30" borderId="3" xfId="0" applyFont="1" applyFill="1" applyBorder="1" applyAlignment="1">
      <alignment horizontal="center"/>
    </xf>
    <xf numFmtId="0" fontId="4" fillId="30" borderId="10" xfId="0" applyFont="1" applyFill="1" applyBorder="1" applyAlignment="1"/>
    <xf numFmtId="0" fontId="12" fillId="30" borderId="10" xfId="0" applyFont="1" applyFill="1" applyBorder="1" applyAlignment="1"/>
    <xf numFmtId="166" fontId="4" fillId="14" borderId="1" xfId="0" applyNumberFormat="1" applyFont="1" applyFill="1" applyBorder="1" applyAlignment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1" xfId="0" applyFont="1" applyFill="1" applyBorder="1" applyAlignment="1">
      <alignment wrapText="1"/>
    </xf>
    <xf numFmtId="0" fontId="29" fillId="14" borderId="3" xfId="0" applyFont="1" applyFill="1" applyBorder="1" applyAlignment="1">
      <alignment horizontal="center"/>
    </xf>
    <xf numFmtId="0" fontId="7" fillId="31" borderId="1" xfId="0" applyFont="1" applyFill="1" applyBorder="1" applyAlignment="1">
      <alignment horizontal="center"/>
    </xf>
    <xf numFmtId="0" fontId="29" fillId="31" borderId="1" xfId="0" applyFont="1" applyFill="1" applyBorder="1" applyAlignment="1">
      <alignment horizontal="center"/>
    </xf>
    <xf numFmtId="0" fontId="28" fillId="27" borderId="3" xfId="0" applyFont="1" applyFill="1" applyBorder="1" applyAlignment="1">
      <alignment horizontal="center"/>
    </xf>
    <xf numFmtId="0" fontId="28" fillId="13" borderId="3" xfId="0" applyFont="1" applyFill="1" applyBorder="1" applyAlignment="1">
      <alignment horizontal="center"/>
    </xf>
    <xf numFmtId="0" fontId="28" fillId="14" borderId="3" xfId="0" applyFont="1" applyFill="1" applyBorder="1" applyAlignment="1">
      <alignment horizontal="center"/>
    </xf>
    <xf numFmtId="0" fontId="4" fillId="32" borderId="10" xfId="0" applyFont="1" applyFill="1" applyBorder="1" applyAlignment="1"/>
    <xf numFmtId="0" fontId="4" fillId="32" borderId="1" xfId="0" applyFont="1" applyFill="1" applyBorder="1" applyAlignment="1"/>
    <xf numFmtId="0" fontId="12" fillId="0" borderId="15" xfId="0" applyFont="1" applyBorder="1" applyAlignment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  <xf numFmtId="0" fontId="29" fillId="27" borderId="1" xfId="0" applyFont="1" applyFill="1" applyBorder="1" applyAlignment="1">
      <alignment horizontal="center" wrapText="1"/>
    </xf>
    <xf numFmtId="0" fontId="7" fillId="29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7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3.4453125" style="1" customWidth="1"/>
    <col min="9" max="9" width="12.1484375" style="2" customWidth="1"/>
    <col min="10" max="10" width="16.16015625" style="1" customWidth="1"/>
    <col min="11" max="11" width="11.796875" style="1" customWidth="1"/>
    <col min="12" max="12" width="13.328125" style="1" customWidth="1"/>
    <col min="13" max="13" width="8.01953125" style="1" customWidth="1"/>
    <col min="14" max="14" width="6.48828125" style="1" customWidth="1"/>
    <col min="15" max="15" width="5.660156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4.25" customHeight="1" x14ac:dyDescent="0.15">
      <c r="A1" s="365" t="s">
        <v>0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 x14ac:dyDescent="0.15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2" t="s">
        <v>57</v>
      </c>
      <c r="M35" s="77"/>
      <c r="N35" s="362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63</v>
      </c>
      <c r="J36" s="362" t="s">
        <v>64</v>
      </c>
      <c r="K36" s="362" t="s">
        <v>65</v>
      </c>
      <c r="L36" s="362" t="s">
        <v>66</v>
      </c>
      <c r="M36" s="77" t="s">
        <v>67</v>
      </c>
      <c r="N36" s="362" t="s">
        <v>68</v>
      </c>
      <c r="O36" s="78"/>
      <c r="P36" s="78"/>
    </row>
    <row r="37" spans="1:23" ht="12.75" customHeight="1" x14ac:dyDescent="0.15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2"/>
      <c r="J37" s="362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 x14ac:dyDescent="0.15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 x14ac:dyDescent="0.15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 x14ac:dyDescent="0.15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 x14ac:dyDescent="0.15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 x14ac:dyDescent="0.15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 x14ac:dyDescent="0.15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 x14ac:dyDescent="0.15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 x14ac:dyDescent="0.15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 x14ac:dyDescent="0.15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 x14ac:dyDescent="0.15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 x14ac:dyDescent="0.15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 x14ac:dyDescent="0.15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 x14ac:dyDescent="0.15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 x14ac:dyDescent="0.15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 x14ac:dyDescent="0.15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 x14ac:dyDescent="0.15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 x14ac:dyDescent="0.15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 x14ac:dyDescent="0.15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 x14ac:dyDescent="0.15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 x14ac:dyDescent="0.15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 x14ac:dyDescent="0.15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5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5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5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5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5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5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5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5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5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5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5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5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5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5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5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5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5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5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5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5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5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5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5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5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5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5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5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5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5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5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5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5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4.625" style="1" customWidth="1"/>
    <col min="9" max="9" width="13.4453125" style="2" customWidth="1"/>
    <col min="10" max="10" width="14.2734375" style="1" customWidth="1"/>
    <col min="11" max="11" width="12.38671875" style="1" customWidth="1"/>
    <col min="12" max="12" width="18.63671875" style="1" customWidth="1"/>
    <col min="13" max="13" width="9.31640625" style="1" customWidth="1"/>
    <col min="14" max="14" width="8.13671875" style="1" customWidth="1"/>
    <col min="15" max="15" width="6.95703125" style="1" customWidth="1"/>
    <col min="16" max="16" width="6.48828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4.25" customHeight="1" x14ac:dyDescent="0.15">
      <c r="A1" s="365" t="s">
        <v>72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 x14ac:dyDescent="0.15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 x14ac:dyDescent="0.15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 x14ac:dyDescent="0.15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 x14ac:dyDescent="0.15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 x14ac:dyDescent="0.15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 x14ac:dyDescent="0.15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 x14ac:dyDescent="0.15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 x14ac:dyDescent="0.15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 x14ac:dyDescent="0.15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 x14ac:dyDescent="0.15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2" t="s">
        <v>57</v>
      </c>
      <c r="M35" s="77"/>
      <c r="N35" s="362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63</v>
      </c>
      <c r="J36" s="362" t="s">
        <v>64</v>
      </c>
      <c r="K36" s="362" t="s">
        <v>65</v>
      </c>
      <c r="L36" s="362" t="s">
        <v>66</v>
      </c>
      <c r="M36" s="77" t="s">
        <v>67</v>
      </c>
      <c r="N36" s="362" t="s">
        <v>68</v>
      </c>
      <c r="O36" s="78"/>
      <c r="P36" s="78"/>
    </row>
    <row r="37" spans="1:23" ht="12" customHeight="1" x14ac:dyDescent="0.15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2"/>
      <c r="J37" s="362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 x14ac:dyDescent="0.15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 x14ac:dyDescent="0.15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 x14ac:dyDescent="0.15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 x14ac:dyDescent="0.15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 x14ac:dyDescent="0.15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 x14ac:dyDescent="0.15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 x14ac:dyDescent="0.15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 x14ac:dyDescent="0.15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 x14ac:dyDescent="0.15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 x14ac:dyDescent="0.15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 x14ac:dyDescent="0.15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 x14ac:dyDescent="0.15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 x14ac:dyDescent="0.15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 x14ac:dyDescent="0.15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 x14ac:dyDescent="0.15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 x14ac:dyDescent="0.15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 x14ac:dyDescent="0.15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 x14ac:dyDescent="0.15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 x14ac:dyDescent="0.15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 x14ac:dyDescent="0.15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 x14ac:dyDescent="0.15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5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5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5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5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5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5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6.6328125" style="1" customWidth="1"/>
    <col min="9" max="9" width="16.16015625" style="2" customWidth="1"/>
    <col min="10" max="10" width="14.15625" style="1" customWidth="1"/>
    <col min="11" max="11" width="6.83984375" style="1" customWidth="1"/>
    <col min="12" max="12" width="22.6484375" style="1" customWidth="1"/>
    <col min="13" max="13" width="14.625" style="1" customWidth="1"/>
    <col min="14" max="14" width="8.84765625" style="1" customWidth="1"/>
    <col min="15" max="15" width="6.839843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5" t="s">
        <v>89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 x14ac:dyDescent="0.15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 x14ac:dyDescent="0.15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 x14ac:dyDescent="0.15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 x14ac:dyDescent="0.15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 x14ac:dyDescent="0.15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 x14ac:dyDescent="0.15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 x14ac:dyDescent="0.15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 x14ac:dyDescent="0.15">
      <c r="A40" s="368" t="s">
        <v>53</v>
      </c>
      <c r="B40" s="368"/>
      <c r="C40" s="368"/>
      <c r="D40" s="368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 x14ac:dyDescent="0.15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 x14ac:dyDescent="0.15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2" t="s">
        <v>57</v>
      </c>
      <c r="M42" s="77"/>
      <c r="N42" s="362"/>
      <c r="O42" s="78"/>
      <c r="P42" s="78"/>
      <c r="R42" s="3"/>
      <c r="S42" s="3"/>
      <c r="T42" s="3"/>
      <c r="U42" s="3"/>
    </row>
    <row r="43" spans="1:23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2" t="s">
        <v>63</v>
      </c>
      <c r="J43" s="362" t="s">
        <v>64</v>
      </c>
      <c r="K43" s="362" t="s">
        <v>65</v>
      </c>
      <c r="L43" s="362" t="s">
        <v>66</v>
      </c>
      <c r="M43" s="77" t="s">
        <v>67</v>
      </c>
      <c r="N43" s="362" t="s">
        <v>68</v>
      </c>
      <c r="O43" s="78"/>
      <c r="P43" s="78"/>
    </row>
    <row r="44" spans="1:23" ht="12.75" customHeight="1" x14ac:dyDescent="0.15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62"/>
      <c r="J44" s="362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 x14ac:dyDescent="0.15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 x14ac:dyDescent="0.15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 x14ac:dyDescent="0.15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 x14ac:dyDescent="0.15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 x14ac:dyDescent="0.15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 x14ac:dyDescent="0.15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 x14ac:dyDescent="0.15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 x14ac:dyDescent="0.15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 x14ac:dyDescent="0.15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 x14ac:dyDescent="0.15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 x14ac:dyDescent="0.15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 x14ac:dyDescent="0.15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 x14ac:dyDescent="0.15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 x14ac:dyDescent="0.15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 x14ac:dyDescent="0.15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 x14ac:dyDescent="0.15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 x14ac:dyDescent="0.15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 x14ac:dyDescent="0.15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 x14ac:dyDescent="0.15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 x14ac:dyDescent="0.15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 x14ac:dyDescent="0.15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 x14ac:dyDescent="0.15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 x14ac:dyDescent="0.15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 x14ac:dyDescent="0.15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 x14ac:dyDescent="0.15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 x14ac:dyDescent="0.15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2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2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2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2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2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2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2" customHeight="1" x14ac:dyDescent="0.15">
      <c r="K869" s="2"/>
      <c r="R869" s="3"/>
      <c r="S869" s="3"/>
      <c r="T869" s="3"/>
      <c r="U869" s="3"/>
      <c r="V869" s="3"/>
      <c r="W869" s="3"/>
    </row>
    <row r="870" spans="11:23" s="1" customFormat="1" ht="12" customHeight="1" x14ac:dyDescent="0.15">
      <c r="K870" s="2"/>
      <c r="R870" s="3"/>
      <c r="S870" s="3"/>
      <c r="T870" s="3"/>
      <c r="U870" s="3"/>
      <c r="V870" s="3"/>
      <c r="W870" s="3"/>
    </row>
    <row r="871" spans="11:23" s="1" customFormat="1" ht="12" customHeight="1" x14ac:dyDescent="0.15">
      <c r="K871" s="2"/>
      <c r="R871" s="3"/>
      <c r="S871" s="3"/>
      <c r="T871" s="3"/>
      <c r="U871" s="3"/>
      <c r="V871" s="3"/>
      <c r="W871" s="3"/>
    </row>
    <row r="872" spans="11:23" s="1" customFormat="1" ht="12" customHeight="1" x14ac:dyDescent="0.15">
      <c r="K872" s="2"/>
      <c r="R872" s="3"/>
      <c r="S872" s="3"/>
      <c r="T872" s="3"/>
      <c r="U872" s="3"/>
      <c r="V872" s="3"/>
      <c r="W872" s="3"/>
    </row>
    <row r="873" spans="11:23" s="1" customFormat="1" ht="12" customHeight="1" x14ac:dyDescent="0.15">
      <c r="K873" s="2"/>
      <c r="R873" s="3"/>
      <c r="S873" s="3"/>
      <c r="T873" s="3"/>
      <c r="U873" s="3"/>
      <c r="V873" s="3"/>
      <c r="W873" s="3"/>
    </row>
    <row r="874" spans="11:23" s="1" customFormat="1" ht="12" customHeight="1" x14ac:dyDescent="0.15">
      <c r="K874" s="2"/>
      <c r="R874" s="3"/>
      <c r="S874" s="3"/>
      <c r="T874" s="3"/>
      <c r="U874" s="3"/>
      <c r="V874" s="3"/>
      <c r="W874" s="3"/>
    </row>
    <row r="875" spans="11:23" s="1" customFormat="1" ht="12" customHeight="1" x14ac:dyDescent="0.15">
      <c r="K875" s="2"/>
      <c r="R875" s="3"/>
      <c r="S875" s="3"/>
      <c r="T875" s="3"/>
      <c r="U875" s="3"/>
      <c r="V875" s="3"/>
      <c r="W875" s="3"/>
    </row>
    <row r="876" spans="11:23" s="1" customFormat="1" ht="12" customHeight="1" x14ac:dyDescent="0.15">
      <c r="K876" s="2"/>
      <c r="R876" s="3"/>
      <c r="S876" s="3"/>
      <c r="T876" s="3"/>
      <c r="U876" s="3"/>
      <c r="V876" s="3"/>
      <c r="W876" s="3"/>
    </row>
    <row r="877" spans="11:23" s="1" customFormat="1" ht="12" customHeight="1" x14ac:dyDescent="0.15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4765625" defaultRowHeight="12.75" x14ac:dyDescent="0.1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4.86328125" style="1" customWidth="1"/>
    <col min="9" max="9" width="13.4453125" style="2" customWidth="1"/>
    <col min="10" max="10" width="16.6328125" style="1" customWidth="1"/>
    <col min="11" max="11" width="15.453125" style="1" customWidth="1"/>
    <col min="12" max="12" width="12.50390625" style="1" customWidth="1"/>
    <col min="13" max="13" width="8.01953125" style="1" customWidth="1"/>
    <col min="14" max="14" width="10.14453125" style="1" customWidth="1"/>
    <col min="15" max="15" width="8.136718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5" t="s">
        <v>101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 x14ac:dyDescent="0.15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 x14ac:dyDescent="0.15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 x14ac:dyDescent="0.15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 x14ac:dyDescent="0.15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 x14ac:dyDescent="0.15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 x14ac:dyDescent="0.15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 x14ac:dyDescent="0.15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 x14ac:dyDescent="0.15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2" t="s">
        <v>57</v>
      </c>
      <c r="M35" s="77"/>
      <c r="N35" s="362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63</v>
      </c>
      <c r="J36" s="362" t="s">
        <v>64</v>
      </c>
      <c r="K36" s="362" t="s">
        <v>65</v>
      </c>
      <c r="L36" s="362" t="s">
        <v>66</v>
      </c>
      <c r="M36" s="77" t="s">
        <v>67</v>
      </c>
      <c r="N36" s="362" t="s">
        <v>68</v>
      </c>
      <c r="O36" s="78"/>
      <c r="P36" s="78"/>
    </row>
    <row r="37" spans="1:23" ht="12" customHeight="1" x14ac:dyDescent="0.15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2"/>
      <c r="J37" s="362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 x14ac:dyDescent="0.15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 x14ac:dyDescent="0.15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 x14ac:dyDescent="0.15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 x14ac:dyDescent="0.15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 x14ac:dyDescent="0.15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 x14ac:dyDescent="0.15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 x14ac:dyDescent="0.15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 x14ac:dyDescent="0.15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 x14ac:dyDescent="0.15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 x14ac:dyDescent="0.15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 x14ac:dyDescent="0.15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 x14ac:dyDescent="0.15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 x14ac:dyDescent="0.15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 x14ac:dyDescent="0.15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 x14ac:dyDescent="0.15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 x14ac:dyDescent="0.15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 x14ac:dyDescent="0.15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 x14ac:dyDescent="0.15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 x14ac:dyDescent="0.15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73"/>
      <c r="C60" s="369" t="s">
        <v>57</v>
      </c>
      <c r="D60" s="369"/>
      <c r="E60" s="369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73"/>
      <c r="C61" s="159" t="s">
        <v>66</v>
      </c>
      <c r="D61" s="160" t="s">
        <v>67</v>
      </c>
      <c r="E61" s="362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 x14ac:dyDescent="0.15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 x14ac:dyDescent="0.15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 x14ac:dyDescent="0.15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2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2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2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2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2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2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  <row r="870" spans="11:23" s="1" customFormat="1" ht="15" customHeight="1" x14ac:dyDescent="0.15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10" width="13.4453125" style="1" customWidth="1"/>
    <col min="11" max="11" width="15.21484375" style="2" customWidth="1"/>
    <col min="12" max="12" width="15.21484375" style="1" customWidth="1"/>
    <col min="13" max="13" width="9.671875" style="1" customWidth="1"/>
    <col min="14" max="14" width="13.328125" style="1" customWidth="1"/>
    <col min="15" max="15" width="8.01953125" style="1" customWidth="1"/>
    <col min="16" max="16" width="6.48828125" style="1" customWidth="1"/>
    <col min="17" max="17" width="5.66015625" style="1" customWidth="1"/>
    <col min="18" max="18" width="4.953125" style="1" customWidth="1"/>
    <col min="19" max="20" width="6.1328125" style="1" customWidth="1"/>
    <col min="21" max="23" width="10.6171875" style="1" customWidth="1"/>
    <col min="24" max="16384" width="17.10546875" style="1"/>
  </cols>
  <sheetData>
    <row r="1" spans="1:25" ht="14.25" customHeight="1" x14ac:dyDescent="0.15">
      <c r="A1" s="365" t="s">
        <v>115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 x14ac:dyDescent="0.15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 x14ac:dyDescent="0.15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 x14ac:dyDescent="0.15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 x14ac:dyDescent="0.15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 x14ac:dyDescent="0.15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 x14ac:dyDescent="0.15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 x14ac:dyDescent="0.15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 x14ac:dyDescent="0.15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 x14ac:dyDescent="0.15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 x14ac:dyDescent="0.15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 x14ac:dyDescent="0.15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 x14ac:dyDescent="0.15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 x14ac:dyDescent="0.2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 x14ac:dyDescent="0.2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 x14ac:dyDescent="0.2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 x14ac:dyDescent="0.2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 x14ac:dyDescent="0.2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 x14ac:dyDescent="0.2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 x14ac:dyDescent="0.2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 x14ac:dyDescent="0.2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 x14ac:dyDescent="0.2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 x14ac:dyDescent="0.2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 x14ac:dyDescent="0.15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 x14ac:dyDescent="0.15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C32" s="71"/>
      <c r="D32" s="71"/>
      <c r="F32" s="20"/>
      <c r="P32" s="57"/>
      <c r="Q32" s="31"/>
    </row>
    <row r="33" spans="1:22" ht="12.75" customHeight="1" x14ac:dyDescent="0.15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62"/>
      <c r="O35" s="78"/>
      <c r="P35" s="78"/>
    </row>
    <row r="36" spans="1:22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63</v>
      </c>
      <c r="J36" s="362" t="s">
        <v>64</v>
      </c>
      <c r="K36" s="362" t="s">
        <v>65</v>
      </c>
      <c r="L36" s="362" t="s">
        <v>66</v>
      </c>
      <c r="M36" s="77" t="s">
        <v>67</v>
      </c>
      <c r="N36" s="362" t="s">
        <v>68</v>
      </c>
      <c r="O36" s="78"/>
      <c r="P36" s="78"/>
    </row>
    <row r="37" spans="1:22" ht="12" customHeight="1" x14ac:dyDescent="0.15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 x14ac:dyDescent="0.15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 x14ac:dyDescent="0.15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 x14ac:dyDescent="0.15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 x14ac:dyDescent="0.15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 x14ac:dyDescent="0.15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 x14ac:dyDescent="0.15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 x14ac:dyDescent="0.15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 x14ac:dyDescent="0.15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 x14ac:dyDescent="0.15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 x14ac:dyDescent="0.15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 x14ac:dyDescent="0.15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 x14ac:dyDescent="0.15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 x14ac:dyDescent="0.15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 x14ac:dyDescent="0.15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 x14ac:dyDescent="0.15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 x14ac:dyDescent="0.15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 x14ac:dyDescent="0.15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>
        <v>2</v>
      </c>
      <c r="K54" s="197">
        <f t="shared" si="0"/>
        <v>27</v>
      </c>
      <c r="L54" s="91">
        <f t="shared" si="1"/>
        <v>117</v>
      </c>
      <c r="M54" s="93">
        <f t="shared" si="3"/>
        <v>132</v>
      </c>
      <c r="N54" s="91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 x14ac:dyDescent="0.15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 x14ac:dyDescent="0.15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 x14ac:dyDescent="0.15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 x14ac:dyDescent="0.15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 x14ac:dyDescent="0.15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 x14ac:dyDescent="0.15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 x14ac:dyDescent="0.15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 x14ac:dyDescent="0.15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 x14ac:dyDescent="0.15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 x14ac:dyDescent="0.15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 x14ac:dyDescent="0.15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 x14ac:dyDescent="0.15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 x14ac:dyDescent="0.15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 x14ac:dyDescent="0.15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 x14ac:dyDescent="0.15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 x14ac:dyDescent="0.15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 x14ac:dyDescent="0.15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 x14ac:dyDescent="0.15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 x14ac:dyDescent="0.15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 x14ac:dyDescent="0.15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 x14ac:dyDescent="0.15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 x14ac:dyDescent="0.15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 x14ac:dyDescent="0.15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 x14ac:dyDescent="0.15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 x14ac:dyDescent="0.15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 x14ac:dyDescent="0.15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 x14ac:dyDescent="0.15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.03515625" defaultRowHeight="12.75" x14ac:dyDescent="0.15"/>
  <cols>
    <col min="1" max="1" width="10.02734375" style="1" customWidth="1"/>
    <col min="2" max="2" width="8.96484375" style="1" customWidth="1"/>
    <col min="3" max="7" width="14.03515625" style="1"/>
    <col min="8" max="8" width="11.32421875" style="1" customWidth="1"/>
    <col min="9" max="9" width="14.625" style="1" customWidth="1"/>
    <col min="10" max="10" width="14.03515625" style="1"/>
    <col min="11" max="11" width="14.03515625" style="2"/>
    <col min="12" max="13" width="14.03515625" style="1"/>
    <col min="14" max="14" width="20.171875" style="1" customWidth="1"/>
    <col min="15" max="16384" width="14.03515625" style="1"/>
  </cols>
  <sheetData>
    <row r="1" spans="1:25" ht="15" customHeight="1" x14ac:dyDescent="0.15">
      <c r="A1" s="365" t="s">
        <v>134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2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2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2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 x14ac:dyDescent="0.15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 x14ac:dyDescent="0.2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 x14ac:dyDescent="0.2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 x14ac:dyDescent="0.15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2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 x14ac:dyDescent="0.2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 x14ac:dyDescent="0.2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 x14ac:dyDescent="0.2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 x14ac:dyDescent="0.2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 x14ac:dyDescent="0.2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 x14ac:dyDescent="0.2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 x14ac:dyDescent="0.15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 x14ac:dyDescent="0.15">
      <c r="A40" s="368" t="s">
        <v>53</v>
      </c>
      <c r="B40" s="368"/>
      <c r="C40" s="368"/>
      <c r="D40" s="368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 x14ac:dyDescent="0.15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 x14ac:dyDescent="0.15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2" t="s">
        <v>57</v>
      </c>
      <c r="M42" s="77"/>
      <c r="N42" s="362"/>
      <c r="O42" s="78"/>
      <c r="P42" s="78"/>
      <c r="R42" s="3"/>
      <c r="S42" s="3"/>
      <c r="T42" s="3"/>
      <c r="U42" s="3"/>
    </row>
    <row r="43" spans="1:23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2" t="s">
        <v>63</v>
      </c>
      <c r="J43" s="362" t="s">
        <v>64</v>
      </c>
      <c r="K43" s="362" t="s">
        <v>65</v>
      </c>
      <c r="L43" s="362" t="s">
        <v>66</v>
      </c>
      <c r="M43" s="77" t="s">
        <v>67</v>
      </c>
      <c r="N43" s="362" t="s">
        <v>68</v>
      </c>
      <c r="O43" s="78"/>
      <c r="P43" s="78"/>
    </row>
    <row r="44" spans="1:23" ht="12.75" customHeight="1" x14ac:dyDescent="0.15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 x14ac:dyDescent="0.15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 x14ac:dyDescent="0.15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 x14ac:dyDescent="0.15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 x14ac:dyDescent="0.15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 x14ac:dyDescent="0.15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 x14ac:dyDescent="0.15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 x14ac:dyDescent="0.15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 x14ac:dyDescent="0.15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 x14ac:dyDescent="0.15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 x14ac:dyDescent="0.15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 x14ac:dyDescent="0.15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 x14ac:dyDescent="0.15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 x14ac:dyDescent="0.15">
      <c r="A57" s="3"/>
      <c r="B57" s="72"/>
      <c r="C57" s="91" t="s">
        <v>29</v>
      </c>
      <c r="D57" s="95">
        <v>1</v>
      </c>
      <c r="E57" s="90">
        <v>13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226</v>
      </c>
      <c r="N57" s="91">
        <f t="shared" si="2"/>
        <v>31</v>
      </c>
    </row>
    <row r="58" spans="1:17" ht="12" customHeight="1" x14ac:dyDescent="0.15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 x14ac:dyDescent="0.15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 x14ac:dyDescent="0.15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 x14ac:dyDescent="0.15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>
        <v>3</v>
      </c>
      <c r="K61" s="92">
        <f t="shared" si="0"/>
        <v>39.6</v>
      </c>
      <c r="L61" s="91">
        <f t="shared" si="1"/>
        <v>171.6</v>
      </c>
      <c r="M61" s="93">
        <f t="shared" si="3"/>
        <v>186</v>
      </c>
      <c r="N61" s="91">
        <f t="shared" si="2"/>
        <v>14.400000000000006</v>
      </c>
      <c r="O61" s="57"/>
      <c r="P61" s="57"/>
      <c r="Q61" s="57"/>
    </row>
    <row r="62" spans="1:17" ht="12" customHeight="1" x14ac:dyDescent="0.15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 x14ac:dyDescent="0.15">
      <c r="A63" s="3"/>
      <c r="B63" s="96"/>
      <c r="C63" s="162" t="s">
        <v>158</v>
      </c>
      <c r="D63" s="221">
        <v>1</v>
      </c>
      <c r="E63" s="363">
        <f>COUNTIF($C$4:$C$38,"AZZEDINE")+COUNTIF($H$4:$H$38,"AZZEDINE")+COUNTIF($I$4:$I$38,"AZZEDINE")+COUNTIF($F$4:$F$38,"AZZEDINE")+D72</f>
        <v>3</v>
      </c>
      <c r="F63" s="363">
        <f>COUNTIF($D$4:$D$38,"AZZEDINE")+COUNTIF($H$4:$H$38,"AZZEDINE")+COUNTIF($G$4:$G$38,"AZZEDINE")</f>
        <v>0</v>
      </c>
      <c r="G63" s="363">
        <f>COUNTIF($E$4:$E$38,"AZZEDINE")</f>
        <v>0</v>
      </c>
      <c r="H63" s="363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 x14ac:dyDescent="0.15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 x14ac:dyDescent="0.15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 x14ac:dyDescent="0.15">
      <c r="A66" s="3"/>
      <c r="B66" s="31"/>
      <c r="C66" s="86" t="s">
        <v>29</v>
      </c>
      <c r="D66" s="102">
        <v>8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 x14ac:dyDescent="0.15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 x14ac:dyDescent="0.15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 x14ac:dyDescent="0.15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 x14ac:dyDescent="0.15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 x14ac:dyDescent="0.15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 x14ac:dyDescent="0.15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 x14ac:dyDescent="0.15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 x14ac:dyDescent="0.15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 x14ac:dyDescent="0.15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 x14ac:dyDescent="0.15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 x14ac:dyDescent="0.15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 x14ac:dyDescent="0.15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 x14ac:dyDescent="0.15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 x14ac:dyDescent="0.15">
      <c r="R842" s="3"/>
      <c r="S842" s="3"/>
      <c r="T842" s="3"/>
      <c r="U842" s="3"/>
      <c r="V842" s="3"/>
      <c r="W842" s="3"/>
    </row>
    <row r="843" spans="13:23" ht="12" customHeight="1" x14ac:dyDescent="0.15">
      <c r="R843" s="3"/>
      <c r="S843" s="3"/>
      <c r="T843" s="3"/>
      <c r="U843" s="3"/>
      <c r="V843" s="3"/>
      <c r="W843" s="3"/>
    </row>
    <row r="844" spans="13:23" ht="12" customHeight="1" x14ac:dyDescent="0.15">
      <c r="R844" s="3"/>
      <c r="S844" s="3"/>
      <c r="T844" s="3"/>
      <c r="U844" s="3"/>
      <c r="V844" s="3"/>
      <c r="W844" s="3"/>
    </row>
    <row r="845" spans="13:23" ht="12" customHeight="1" x14ac:dyDescent="0.15">
      <c r="R845" s="3"/>
      <c r="S845" s="3"/>
      <c r="T845" s="3"/>
      <c r="U845" s="3"/>
      <c r="V845" s="3"/>
      <c r="W845" s="3"/>
    </row>
    <row r="846" spans="13:23" ht="12" customHeight="1" x14ac:dyDescent="0.15">
      <c r="R846" s="3"/>
      <c r="S846" s="3"/>
      <c r="T846" s="3"/>
      <c r="U846" s="3"/>
      <c r="V846" s="3"/>
      <c r="W846" s="3"/>
    </row>
    <row r="847" spans="13:23" ht="12" customHeight="1" x14ac:dyDescent="0.15">
      <c r="R847" s="3"/>
      <c r="S847" s="3"/>
      <c r="T847" s="3"/>
      <c r="U847" s="3"/>
      <c r="V847" s="3"/>
      <c r="W847" s="3"/>
    </row>
    <row r="848" spans="13:23" ht="12" customHeight="1" x14ac:dyDescent="0.15">
      <c r="R848" s="3"/>
      <c r="S848" s="3"/>
      <c r="T848" s="3"/>
      <c r="U848" s="3"/>
      <c r="V848" s="3"/>
      <c r="W848" s="3"/>
    </row>
    <row r="849" spans="18:23" ht="12" customHeight="1" x14ac:dyDescent="0.15">
      <c r="R849" s="3"/>
      <c r="S849" s="3"/>
      <c r="T849" s="3"/>
      <c r="U849" s="3"/>
      <c r="V849" s="3"/>
      <c r="W849" s="3"/>
    </row>
    <row r="850" spans="18:23" ht="12" customHeight="1" x14ac:dyDescent="0.15">
      <c r="R850" s="3"/>
      <c r="S850" s="3"/>
      <c r="T850" s="3"/>
      <c r="U850" s="3"/>
      <c r="V850" s="3"/>
      <c r="W850" s="3"/>
    </row>
    <row r="851" spans="18:23" ht="12" customHeight="1" x14ac:dyDescent="0.15">
      <c r="R851" s="3"/>
      <c r="S851" s="3"/>
      <c r="T851" s="3"/>
      <c r="U851" s="3"/>
      <c r="V851" s="3"/>
      <c r="W851" s="3"/>
    </row>
    <row r="852" spans="18:23" ht="12" customHeight="1" x14ac:dyDescent="0.15">
      <c r="R852" s="3"/>
      <c r="S852" s="3"/>
      <c r="T852" s="3"/>
      <c r="U852" s="3"/>
      <c r="V852" s="3"/>
      <c r="W852" s="3"/>
    </row>
    <row r="853" spans="18:23" ht="12" customHeight="1" x14ac:dyDescent="0.15">
      <c r="R853" s="3"/>
      <c r="S853" s="3"/>
      <c r="T853" s="3"/>
      <c r="U853" s="3"/>
      <c r="V853" s="3"/>
      <c r="W853" s="3"/>
    </row>
    <row r="854" spans="18:23" ht="12" customHeight="1" x14ac:dyDescent="0.15">
      <c r="R854" s="3"/>
      <c r="S854" s="3"/>
      <c r="T854" s="3"/>
      <c r="U854" s="3"/>
      <c r="V854" s="3"/>
      <c r="W854" s="3"/>
    </row>
    <row r="855" spans="18:23" ht="12" customHeight="1" x14ac:dyDescent="0.15">
      <c r="R855" s="3"/>
      <c r="S855" s="3"/>
      <c r="T855" s="3"/>
      <c r="U855" s="3"/>
      <c r="V855" s="3"/>
      <c r="W855" s="3"/>
    </row>
    <row r="856" spans="18:23" ht="12" customHeight="1" x14ac:dyDescent="0.15">
      <c r="R856" s="3"/>
      <c r="S856" s="3"/>
      <c r="T856" s="3"/>
      <c r="U856" s="3"/>
      <c r="V856" s="3"/>
      <c r="W856" s="3"/>
    </row>
    <row r="857" spans="18:23" ht="12" customHeight="1" x14ac:dyDescent="0.15">
      <c r="R857" s="3"/>
      <c r="S857" s="3"/>
      <c r="T857" s="3"/>
      <c r="U857" s="3"/>
      <c r="V857" s="3"/>
      <c r="W857" s="3"/>
    </row>
    <row r="858" spans="18:23" ht="12" customHeight="1" x14ac:dyDescent="0.15">
      <c r="R858" s="3"/>
      <c r="S858" s="3"/>
      <c r="T858" s="3"/>
      <c r="U858" s="3"/>
      <c r="V858" s="3"/>
      <c r="W858" s="3"/>
    </row>
    <row r="859" spans="18:23" ht="12" customHeight="1" x14ac:dyDescent="0.15">
      <c r="R859" s="3"/>
      <c r="S859" s="3"/>
      <c r="T859" s="3"/>
      <c r="U859" s="3"/>
      <c r="V859" s="3"/>
      <c r="W859" s="3"/>
    </row>
    <row r="860" spans="18:23" ht="12" customHeight="1" x14ac:dyDescent="0.15">
      <c r="R860" s="3"/>
      <c r="S860" s="3"/>
      <c r="T860" s="3"/>
      <c r="U860" s="3"/>
      <c r="V860" s="3"/>
      <c r="W860" s="3"/>
    </row>
    <row r="861" spans="18:23" ht="12" customHeight="1" x14ac:dyDescent="0.15">
      <c r="R861" s="3"/>
      <c r="S861" s="3"/>
      <c r="T861" s="3"/>
      <c r="U861" s="3"/>
      <c r="V861" s="3"/>
      <c r="W861" s="3"/>
    </row>
    <row r="862" spans="18:23" ht="12" customHeight="1" x14ac:dyDescent="0.15">
      <c r="R862" s="3"/>
      <c r="S862" s="3"/>
      <c r="T862" s="3"/>
      <c r="U862" s="3"/>
      <c r="V862" s="3"/>
      <c r="W862" s="3"/>
    </row>
    <row r="863" spans="18:23" ht="12" customHeight="1" x14ac:dyDescent="0.15">
      <c r="R863" s="3"/>
      <c r="S863" s="3"/>
      <c r="T863" s="3"/>
      <c r="U863" s="3"/>
      <c r="V863" s="3"/>
      <c r="W863" s="3"/>
    </row>
    <row r="864" spans="18:23" ht="12" customHeight="1" x14ac:dyDescent="0.15">
      <c r="R864" s="3"/>
      <c r="S864" s="3"/>
      <c r="T864" s="3"/>
      <c r="U864" s="3"/>
      <c r="V864" s="3"/>
      <c r="W864" s="3"/>
    </row>
    <row r="865" spans="18:23" ht="12" customHeight="1" x14ac:dyDescent="0.15">
      <c r="R865" s="3"/>
      <c r="S865" s="3"/>
      <c r="T865" s="3"/>
      <c r="U865" s="3"/>
      <c r="V865" s="3"/>
      <c r="W865" s="3"/>
    </row>
    <row r="866" spans="18:23" ht="12" customHeight="1" x14ac:dyDescent="0.15">
      <c r="R866" s="3"/>
      <c r="S866" s="3"/>
      <c r="T866" s="3"/>
      <c r="U866" s="3"/>
      <c r="V866" s="3"/>
      <c r="W866" s="3"/>
    </row>
    <row r="867" spans="18:23" ht="12" customHeight="1" x14ac:dyDescent="0.15">
      <c r="R867" s="3"/>
      <c r="S867" s="3"/>
      <c r="T867" s="3"/>
      <c r="U867" s="3"/>
      <c r="V867" s="3"/>
      <c r="W867" s="3"/>
    </row>
    <row r="868" spans="18:23" ht="12" customHeight="1" x14ac:dyDescent="0.15">
      <c r="R868" s="3"/>
      <c r="S868" s="3"/>
      <c r="T868" s="3"/>
      <c r="U868" s="3"/>
      <c r="V868" s="3"/>
      <c r="W868" s="3"/>
    </row>
    <row r="869" spans="18:23" ht="12" customHeight="1" x14ac:dyDescent="0.15">
      <c r="R869" s="3"/>
      <c r="S869" s="3"/>
      <c r="T869" s="3"/>
      <c r="U869" s="3"/>
      <c r="V869" s="3"/>
      <c r="W869" s="3"/>
    </row>
    <row r="870" spans="18:23" ht="12" customHeight="1" x14ac:dyDescent="0.15">
      <c r="R870" s="3"/>
      <c r="S870" s="3"/>
      <c r="T870" s="3"/>
      <c r="U870" s="3"/>
      <c r="V870" s="3"/>
      <c r="W870" s="3"/>
    </row>
    <row r="871" spans="18:23" ht="12" customHeight="1" x14ac:dyDescent="0.15">
      <c r="R871" s="3"/>
      <c r="S871" s="3"/>
      <c r="T871" s="3"/>
      <c r="U871" s="3"/>
      <c r="V871" s="3"/>
      <c r="W871" s="3"/>
    </row>
    <row r="872" spans="18:23" ht="12" customHeight="1" x14ac:dyDescent="0.15">
      <c r="R872" s="3"/>
      <c r="S872" s="3"/>
      <c r="T872" s="3"/>
      <c r="U872" s="3"/>
      <c r="V872" s="3"/>
      <c r="W872" s="3"/>
    </row>
    <row r="873" spans="18:23" ht="12" customHeight="1" x14ac:dyDescent="0.15">
      <c r="R873" s="3"/>
      <c r="S873" s="3"/>
      <c r="T873" s="3"/>
      <c r="U873" s="3"/>
      <c r="V873" s="3"/>
      <c r="W873" s="3"/>
    </row>
    <row r="874" spans="18:23" ht="12" customHeight="1" x14ac:dyDescent="0.15">
      <c r="R874" s="3"/>
      <c r="S874" s="3"/>
      <c r="T874" s="3"/>
      <c r="U874" s="3"/>
      <c r="V874" s="3"/>
      <c r="W874" s="3"/>
    </row>
    <row r="875" spans="18:23" ht="12" customHeight="1" x14ac:dyDescent="0.15">
      <c r="R875" s="3"/>
      <c r="S875" s="3"/>
      <c r="T875" s="3"/>
      <c r="U875" s="3"/>
      <c r="V875" s="3"/>
      <c r="W875" s="3"/>
    </row>
    <row r="876" spans="18:23" ht="12" customHeight="1" x14ac:dyDescent="0.15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10" width="13.4453125" style="1" customWidth="1"/>
    <col min="11" max="11" width="13.80078125" style="2" customWidth="1"/>
    <col min="12" max="12" width="22.4140625" style="1" customWidth="1"/>
    <col min="13" max="13" width="11.20703125" style="1" customWidth="1"/>
    <col min="14" max="14" width="10.14453125" style="1" customWidth="1"/>
    <col min="15" max="15" width="8.019531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3" ht="14.25" customHeight="1" x14ac:dyDescent="0.15">
      <c r="A1" s="365" t="s">
        <v>159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3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 x14ac:dyDescent="0.2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 x14ac:dyDescent="0.2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 x14ac:dyDescent="0.2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 x14ac:dyDescent="0.2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 x14ac:dyDescent="0.2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 x14ac:dyDescent="0.2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 x14ac:dyDescent="0.2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 x14ac:dyDescent="0.2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 x14ac:dyDescent="0.2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 x14ac:dyDescent="0.2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 x14ac:dyDescent="0.2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 x14ac:dyDescent="0.2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 x14ac:dyDescent="0.2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 x14ac:dyDescent="0.15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 x14ac:dyDescent="0.15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 x14ac:dyDescent="0.15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 x14ac:dyDescent="0.2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 x14ac:dyDescent="0.15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 x14ac:dyDescent="0.15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 x14ac:dyDescent="0.15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 x14ac:dyDescent="0.15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 x14ac:dyDescent="0.15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 x14ac:dyDescent="0.15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 x14ac:dyDescent="0.2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 x14ac:dyDescent="0.15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 x14ac:dyDescent="0.15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 x14ac:dyDescent="0.15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 x14ac:dyDescent="0.15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 x14ac:dyDescent="0.15">
      <c r="B32" s="71"/>
      <c r="F32" s="20"/>
    </row>
    <row r="33" spans="1:20" ht="12.75" customHeight="1" x14ac:dyDescent="0.15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64</v>
      </c>
      <c r="J36" s="362" t="s">
        <v>65</v>
      </c>
      <c r="K36" s="362" t="s">
        <v>66</v>
      </c>
      <c r="L36" s="362" t="s">
        <v>67</v>
      </c>
      <c r="M36" s="362" t="s">
        <v>68</v>
      </c>
      <c r="N36" s="98"/>
      <c r="O36" s="78"/>
    </row>
    <row r="37" spans="1:20" ht="12" customHeight="1" x14ac:dyDescent="0.15">
      <c r="A37" s="73"/>
      <c r="B37" s="73"/>
      <c r="C37" s="161" t="s">
        <v>38</v>
      </c>
      <c r="D37" s="236">
        <v>1</v>
      </c>
      <c r="E37" s="363">
        <f>COUNTIF($C$4:$C$31,"BOULAT")+COUNTIF($F$4:$F$31,"BOULAT")+COUNTIF($I$4:$I$31,"BOULAT")+COUNTIF($K$4:$K$31,"BOULAT")</f>
        <v>4</v>
      </c>
      <c r="F37" s="363">
        <f>COUNTIF($D$4:$D$31,"BOULAT")+COUNTIF($G$4:$G$31,"BOULAT")</f>
        <v>3</v>
      </c>
      <c r="G37" s="363">
        <f>COUNTIF($E$4:$E$31,"BOULAT")</f>
        <v>0</v>
      </c>
      <c r="H37" s="161"/>
      <c r="I37" s="363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 x14ac:dyDescent="0.15">
      <c r="A38" s="73"/>
      <c r="B38" s="73"/>
      <c r="C38" s="161" t="s">
        <v>36</v>
      </c>
      <c r="D38" s="236">
        <v>1</v>
      </c>
      <c r="E38" s="363">
        <f>COUNTIF($C$4:$C$31,"BRUGIROUX")+COUNTIF($I$4:$I$31,"BRUGIROUX")+COUNTIF($F$4:$F$31,"BRUGIROUX")+COUNTIF($K$4:$K$31,"BRUGIROUX")</f>
        <v>5</v>
      </c>
      <c r="F38" s="363">
        <f>COUNTIF($D$4:$D$31,"BRUGIROUX")+COUNTIF($G$4:$G$31,"BRUGIROUX")</f>
        <v>8</v>
      </c>
      <c r="G38" s="363">
        <f>COUNTIF($E$4:$E$31,"BRUGIROUX")</f>
        <v>1</v>
      </c>
      <c r="H38" s="161">
        <f>COUNTIF($J$4:$J$31,"BRUGIROUX")</f>
        <v>0</v>
      </c>
      <c r="I38" s="363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 x14ac:dyDescent="0.15">
      <c r="A39" s="73"/>
      <c r="B39" s="73"/>
      <c r="C39" s="161" t="s">
        <v>21</v>
      </c>
      <c r="D39" s="239">
        <v>0.5</v>
      </c>
      <c r="E39" s="363">
        <f>COUNTIF($C$4:$C$31,"CAUVY")+COUNTIF($F$4:$F$31,"CAUVY")+COUNTIF($I$4:$I$31,"CAUVY")+COUNTIF($K$4:$K$31,"CAUVY")</f>
        <v>4</v>
      </c>
      <c r="F39" s="363">
        <f>COUNTIF($D$4:$D$31,"CAUVY")+COUNTIF($G$4:$G$31,"CAUVY")</f>
        <v>0</v>
      </c>
      <c r="G39" s="363">
        <f>COUNTIF($E$4:$E$31,"CAUVY")</f>
        <v>1</v>
      </c>
      <c r="H39" s="363"/>
      <c r="I39" s="363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 x14ac:dyDescent="0.15">
      <c r="A40" s="73"/>
      <c r="B40" s="73"/>
      <c r="C40" s="161" t="s">
        <v>31</v>
      </c>
      <c r="D40" s="239">
        <v>0.8</v>
      </c>
      <c r="E40" s="363">
        <f>COUNTIF($C$4:$C$31,"FONTAINE")+COUNTIF($I$4:$I$31,"FONTAINE")+COUNTIF($F$4:$F$31,"FONTAINE")+COUNTIF($K$4:$K$31,"FONTAINE")</f>
        <v>3</v>
      </c>
      <c r="F40" s="363">
        <f>COUNTIF($D$4:$D$31,"FONTAINE")+COUNTIF($G$4:$G$31,"FONTAINE")</f>
        <v>2</v>
      </c>
      <c r="G40" s="363">
        <f>COUNTIF($E$4:$E$31,"FONTAINE")</f>
        <v>0</v>
      </c>
      <c r="H40" s="161"/>
      <c r="I40" s="363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 x14ac:dyDescent="0.15">
      <c r="A41" s="3"/>
      <c r="B41" s="3"/>
      <c r="C41" s="162" t="s">
        <v>28</v>
      </c>
      <c r="D41" s="221">
        <v>0.6</v>
      </c>
      <c r="E41" s="363">
        <f>COUNTIF($C$4:$C$31,"KANTCHE")+COUNTIF($I$4:$I$31,"KANTCHE")+COUNTIF($F$4:$F$31,"KANTCHE")+COUNTIF($K$4:$K$31,"KANTCHE")</f>
        <v>4</v>
      </c>
      <c r="F41" s="363">
        <f>COUNTIF($D$4:$D$31,"KANTCHE")+COUNTIF($G$4:$G$31,"KANTCHE")</f>
        <v>3</v>
      </c>
      <c r="G41" s="363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 x14ac:dyDescent="0.15">
      <c r="A42" s="3"/>
      <c r="B42" s="3"/>
      <c r="C42" s="162" t="s">
        <v>42</v>
      </c>
      <c r="D42" s="221">
        <v>1</v>
      </c>
      <c r="E42" s="363">
        <f>COUNTIF($C$4:$C$31,"ORIOLI")+COUNTIF($I$4:$I$31,"ORIOLI")+COUNTIF($F$4:$F$31,"ORIOLI")+COUNTIF($K$4:$K$31,"ORIOLI")</f>
        <v>5</v>
      </c>
      <c r="F42" s="363">
        <f>COUNTIF($D$4:$D$31,"ORIOLI")+COUNTIF($G$4:$G$31,"ORIOLI")</f>
        <v>5</v>
      </c>
      <c r="G42" s="363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 x14ac:dyDescent="0.15">
      <c r="A43" s="3"/>
      <c r="B43" s="3"/>
      <c r="C43" s="162" t="s">
        <v>47</v>
      </c>
      <c r="D43" s="221">
        <v>0.5</v>
      </c>
      <c r="E43" s="363">
        <f>COUNTIF($C$4:$C$31,"TKATCHOUK")+COUNTIF($I$4:$I$31,"TKATCHOUK")+COUNTIF($F$4:$F$31,"TKATCHOUK")+COUNTIF($K$4:$K$31,"TKATCHOUK")</f>
        <v>0</v>
      </c>
      <c r="F43" s="363">
        <f>COUNTIF($D$4:$D$31,"TKATCHOUK")+COUNTIF($G$4:$G$31,"TKATCHOUK")</f>
        <v>0</v>
      </c>
      <c r="G43" s="363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 x14ac:dyDescent="0.15">
      <c r="A44" s="3"/>
      <c r="B44" s="3"/>
      <c r="C44" s="162" t="s">
        <v>20</v>
      </c>
      <c r="D44" s="221">
        <v>1</v>
      </c>
      <c r="E44" s="363">
        <f>COUNTIF($C$4:$C$31,"TORREGROSSA")+COUNTIF($I$4:$I$31,"TORREGROSSA")+COUNTIF($F$4:$F$31,"TORREGROSSA")+COUNTIF($K$4:$K$31,"TORREGROSSA")</f>
        <v>4</v>
      </c>
      <c r="F44" s="363">
        <f>COUNTIF($D$4:$D$31,"TORREGROSSA")+COUNTIF($G$4:$G$31,"TORREGROSSA")</f>
        <v>4</v>
      </c>
      <c r="G44" s="363">
        <f>COUNTIF($E$4:$E$31,"TORREGROSSA")</f>
        <v>0</v>
      </c>
      <c r="H44" s="363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 x14ac:dyDescent="0.15">
      <c r="A45" s="3"/>
      <c r="B45" s="3"/>
      <c r="C45" s="162" t="s">
        <v>19</v>
      </c>
      <c r="D45" s="221">
        <v>0.4</v>
      </c>
      <c r="E45" s="363">
        <f>COUNTIF($C$4:$C$31,"BALLOT")+COUNTIF($F$4:$F$31,"BALLOT")+COUNTIF($I$4:$I$31,"BALLOT")+COUNTIF($K$4:$K$31,"BALLOT")</f>
        <v>2</v>
      </c>
      <c r="F45" s="363">
        <f>COUNTIF($D$4:$D$31,"BALLOT")+COUNTIF($G$4:$G$31,"BALLOT")</f>
        <v>0</v>
      </c>
      <c r="G45" s="363">
        <f>COUNTIF($E$4:$E$31,"BALLOT")</f>
        <v>3</v>
      </c>
      <c r="H45" s="363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 x14ac:dyDescent="0.15">
      <c r="A46" s="3"/>
      <c r="B46" s="3"/>
      <c r="C46" s="162" t="s">
        <v>37</v>
      </c>
      <c r="D46" s="221">
        <v>0.4</v>
      </c>
      <c r="E46" s="363">
        <f>COUNTIF($C$4:$C$31,"MOREL")+COUNTIF($I$4:$I$31,"MOREL")+COUNTIF($F$4:$F$31,"MOREL")+COUNTIF($K$4:$K$31,"MOREL")</f>
        <v>5</v>
      </c>
      <c r="F46" s="363">
        <f>COUNTIF($D$4:$D$31,"MOREL")+COUNTIF($G$4:$G$31,"MOREL")</f>
        <v>0</v>
      </c>
      <c r="G46" s="363">
        <f>COUNTIF($E$4:$E$31,"MOREL")</f>
        <v>0</v>
      </c>
      <c r="H46" s="363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 x14ac:dyDescent="0.15">
      <c r="A47" s="3"/>
      <c r="B47" s="3"/>
      <c r="C47" s="162" t="s">
        <v>27</v>
      </c>
      <c r="D47" s="221">
        <v>0.8</v>
      </c>
      <c r="E47" s="363">
        <f>COUNTIF($C$4:$C$31,"RACHIDI")+COUNTIF($I$4:$I$31,"RACHIDI")+COUNTIF($F$4:$F$31,"RACHIDI")+COUNTIF($K$4:$K$31,"RACHIDI")</f>
        <v>1</v>
      </c>
      <c r="F47" s="363">
        <f>COUNTIF($D$4:$D$31,"RACHIDI")+COUNTIF($G$4:$G$31,"RACHIDI")</f>
        <v>1</v>
      </c>
      <c r="G47" s="363">
        <f>COUNTIF($E$4:$E$31,"RACHIDI")</f>
        <v>0</v>
      </c>
      <c r="H47" s="363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 x14ac:dyDescent="0.15">
      <c r="A48" s="3"/>
      <c r="B48" s="3"/>
      <c r="C48" s="162" t="s">
        <v>34</v>
      </c>
      <c r="D48" s="221">
        <v>1</v>
      </c>
      <c r="E48" s="363">
        <f>COUNTIF($C$4:$C$31,"ZEBICHE")+COUNTIF($F$4:$F$31,"ZEBICHE")+COUNTIF($I$4:$I$31,"ZEBICHE")+COUNTIF($K$4:$K$31,"ZEBICHE")</f>
        <v>9</v>
      </c>
      <c r="F48" s="363">
        <f>COUNTIF($D$4:$D$31,"ZEBICHE")+COUNTIF($G$4:$G$31,"ZEBICHE")</f>
        <v>9</v>
      </c>
      <c r="G48" s="363">
        <f>COUNTIF($E$4:$E$31,"ZEBICHE")</f>
        <v>0</v>
      </c>
      <c r="H48" s="363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 x14ac:dyDescent="0.15">
      <c r="A49" s="3"/>
      <c r="B49" s="3"/>
      <c r="C49" s="162" t="s">
        <v>22</v>
      </c>
      <c r="D49" s="221">
        <v>1</v>
      </c>
      <c r="E49" s="363">
        <f>COUNTIF($C$4:$C$31,"HACHIMI")+COUNTIF($F$4:$F$31,"HACHIMI")+COUNTIF($H$4:$H$31,"HACHIMI")+COUNTIF($I$4:$I$31,"HACHIMI")+D58+COUNTIF($K$4:$K$31,"HACHIMI")</f>
        <v>8</v>
      </c>
      <c r="F49" s="363">
        <f>COUNTIF($D$4:$D$31,"HACHIMI")+COUNTIF($H$4:$H$31,"HACHIMI")+COUNTIF($G$4:$G$31,"HACHIMI")</f>
        <v>7</v>
      </c>
      <c r="G49" s="363">
        <f>COUNTIF($E$4:$E$31,"HACHIMI")</f>
        <v>2</v>
      </c>
      <c r="H49" s="363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 x14ac:dyDescent="0.15">
      <c r="A50" s="3"/>
      <c r="B50" s="3"/>
      <c r="C50" s="162" t="s">
        <v>29</v>
      </c>
      <c r="D50" s="221">
        <v>1</v>
      </c>
      <c r="E50" s="363">
        <f>COUNTIF($C$4:$C$31,"BIENDOUX")+COUNTIF($H$4:$H$31,"BIENDOUX")+COUNTIF($I$4:$I$31,"BIENDOUX")+COUNTIF($F$4:$F$31,"BIENDOUX")+D59+COUNTIF($K$4:$K$31,"BIENDOUX")</f>
        <v>14</v>
      </c>
      <c r="F50" s="363">
        <v>4</v>
      </c>
      <c r="G50" s="363">
        <f>COUNTIF($E$4:$E$31,"BIENDOUX")</f>
        <v>0</v>
      </c>
      <c r="H50" s="363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 x14ac:dyDescent="0.15">
      <c r="A51" s="3"/>
      <c r="B51" s="3"/>
      <c r="C51" s="162" t="s">
        <v>48</v>
      </c>
      <c r="D51" s="221">
        <v>1</v>
      </c>
      <c r="E51" s="363">
        <f>COUNTIF($C$4:$C$31,"AFZAL")+COUNTIF($H$4:$H$31,"AFZAL")+COUNTIF($I$4:$I$31,"AFZAL")+COUNTIF($F$4:$F$31,"AFZAL")+D60+COUNTIF($K$4:$K$31,"AFZAL")</f>
        <v>8</v>
      </c>
      <c r="F51" s="363">
        <v>9</v>
      </c>
      <c r="G51" s="363">
        <f>COUNTIF($E$4:$E$31,"AFZAL")</f>
        <v>1</v>
      </c>
      <c r="H51" s="363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 x14ac:dyDescent="0.15">
      <c r="A52" s="3"/>
      <c r="B52" s="3"/>
      <c r="C52" s="162" t="s">
        <v>44</v>
      </c>
      <c r="D52" s="221">
        <v>1</v>
      </c>
      <c r="E52" s="363">
        <f>COUNTIF($C$4:$C$31,"IBRAHIM")+COUNTIF($H$4:$H$31,"IBRAHIM")+COUNTIF($I$4:$I$31,"IBRAHIM")+COUNTIF($K$4:$K$31,"IBRAHIM")+COUNTIF($F$4:$F$31,"IBRAHIM")+D61</f>
        <v>8</v>
      </c>
      <c r="F52" s="363">
        <v>6</v>
      </c>
      <c r="G52" s="363">
        <f>COUNTIF($E$4:$E$31,"IBRAHIM")</f>
        <v>3</v>
      </c>
      <c r="H52" s="363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 x14ac:dyDescent="0.15">
      <c r="A53" s="3"/>
      <c r="B53" s="3"/>
      <c r="C53" s="162" t="s">
        <v>23</v>
      </c>
      <c r="D53" s="221">
        <v>1</v>
      </c>
      <c r="E53" s="363">
        <f>COUNTIF($C$4:$C$31,"IMAD")+COUNTIF($H$4:$H$31,"IMAD")+COUNTIF($I$4:$I$31,"IMAD")+COUNTIF($F$4:$F$31,"IMAD")+D62+COUNTIF($K$4:$K$31,"IMAD")</f>
        <v>6</v>
      </c>
      <c r="F53" s="363">
        <f>COUNTIF($D$4:$D$31,"IMAD")+COUNTIF($H$4:$H$31,"IMAD")+COUNTIF($G$4:$G$31,"IMAD")</f>
        <v>5</v>
      </c>
      <c r="G53" s="363">
        <f>COUNTIF($E$4:$E$31,"IMAD")</f>
        <v>1</v>
      </c>
      <c r="H53" s="363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 x14ac:dyDescent="0.15">
      <c r="A54" s="3"/>
      <c r="B54" s="3"/>
      <c r="C54" s="162" t="s">
        <v>32</v>
      </c>
      <c r="D54" s="221">
        <v>1</v>
      </c>
      <c r="E54" s="363">
        <f>COUNTIF($C$4:$C$31,"RADO")+COUNTIF($H$4:$H$31,"RADO")+COUNTIF($I$4:$I$31,"RADO")+COUNTIF($F$4:$F$31,"RADO")+D63+COUNTIF($K$4:$K$31,"RADO")</f>
        <v>14</v>
      </c>
      <c r="F54" s="363">
        <f>COUNTIF($D$4:$D$31,"RADO")+COUNTIF($H$4:$H$31,"RADO")+COUNTIF($G$4:$G$31,"RADO")</f>
        <v>2</v>
      </c>
      <c r="G54" s="363">
        <f>COUNTIF($E$4:$E$31,"RADO")</f>
        <v>2</v>
      </c>
      <c r="H54" s="363"/>
      <c r="I54" s="162">
        <v>1</v>
      </c>
      <c r="J54" s="162">
        <f t="shared" si="0"/>
        <v>32.400000000000006</v>
      </c>
      <c r="K54" s="237">
        <f t="shared" si="1"/>
        <v>140.39999999999998</v>
      </c>
      <c r="L54" s="162">
        <f t="shared" si="4"/>
        <v>192</v>
      </c>
      <c r="M54" s="238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 x14ac:dyDescent="0.15">
      <c r="A55" s="3"/>
      <c r="B55" s="3"/>
      <c r="C55" s="162" t="s">
        <v>102</v>
      </c>
      <c r="D55" s="221">
        <v>1</v>
      </c>
      <c r="E55" s="363">
        <f>COUNTIF($C$4:$C$31,"TODY")+COUNTIF($H$4:$H$31,"TODY")+COUNTIF($I$4:$I$31,"TODY")+COUNTIF($F$4:$F$31,"TODY")+D64+COUNTIF($K$4:$K$31,"TODY")</f>
        <v>11</v>
      </c>
      <c r="F55" s="363">
        <f>COUNTIF($D$4:$D$31,"TODY")+COUNTIF($H$4:$H$31,"TODY")+COUNTIF($G$4:$G$31,"TODY")</f>
        <v>2</v>
      </c>
      <c r="G55" s="363">
        <f>COUNTIF($E$4:$E$31,"TODY")</f>
        <v>2</v>
      </c>
      <c r="H55" s="363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 x14ac:dyDescent="0.15">
      <c r="A56" s="3"/>
      <c r="B56" s="3"/>
      <c r="C56" s="162" t="s">
        <v>168</v>
      </c>
      <c r="D56" s="221">
        <v>1</v>
      </c>
      <c r="E56" s="363">
        <f>COUNTIF($C$4:$C$31,"RODRIGUE")+COUNTIF($H$4:$H$31,"RODRIGUE")+COUNTIF($I$4:$I$31,"RODRIGUE")+COUNTIF($F$4:$F$31,"RODRIGUE")+D65+COUNTIF($K$4:$K$31,"RODRIGUE")</f>
        <v>6</v>
      </c>
      <c r="F56" s="363">
        <f>COUNTIF($D$4:$D$31,"RODRIGUE")+COUNTIF($H$4:$H$31,"RODRIGUE")+COUNTIF($G$4:$G$31,"RODRIGUE")</f>
        <v>3</v>
      </c>
      <c r="G56" s="363">
        <f>COUNTIF($E$4:$E$31,"RODRIGUE")</f>
        <v>2</v>
      </c>
      <c r="H56" s="363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 x14ac:dyDescent="0.15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 x14ac:dyDescent="0.15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 x14ac:dyDescent="0.15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 x14ac:dyDescent="0.15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 x14ac:dyDescent="0.15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15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 x14ac:dyDescent="0.15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D5" zoomScale="111" zoomScaleNormal="111" workbookViewId="0">
      <selection activeCell="C28" sqref="C28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7.10546875" style="1"/>
    <col min="9" max="9" width="14.86328125" style="1" customWidth="1"/>
    <col min="10" max="10" width="14.03515625" style="1" customWidth="1"/>
    <col min="11" max="11" width="14.15625" style="243" customWidth="1"/>
    <col min="13" max="13" width="12.38671875" style="244" customWidth="1"/>
    <col min="14" max="14" width="10.02734375" style="244" customWidth="1"/>
    <col min="15" max="15" width="8.01953125" style="244" customWidth="1"/>
    <col min="16" max="18" width="10.6171875" style="1" customWidth="1"/>
    <col min="19" max="16384" width="17.10546875" style="1"/>
  </cols>
  <sheetData>
    <row r="1" spans="1:20" ht="15" customHeight="1" x14ac:dyDescent="0.15">
      <c r="A1" s="365" t="s">
        <v>174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</row>
    <row r="2" spans="1:20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"/>
      <c r="Q2" s="3"/>
      <c r="R2" s="3"/>
      <c r="S2" s="3"/>
      <c r="T2" s="3"/>
    </row>
    <row r="3" spans="1:20" s="245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 x14ac:dyDescent="0.15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 x14ac:dyDescent="0.15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 x14ac:dyDescent="0.15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 x14ac:dyDescent="0.15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 x14ac:dyDescent="0.2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 x14ac:dyDescent="0.15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 x14ac:dyDescent="0.15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 x14ac:dyDescent="0.15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 x14ac:dyDescent="0.15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 x14ac:dyDescent="0.15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 x14ac:dyDescent="0.15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 x14ac:dyDescent="0.15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 x14ac:dyDescent="0.15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 x14ac:dyDescent="0.15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 x14ac:dyDescent="0.15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6" t="s">
        <v>22</v>
      </c>
      <c r="G18" s="326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 x14ac:dyDescent="0.15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 x14ac:dyDescent="0.15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 x14ac:dyDescent="0.15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 x14ac:dyDescent="0.15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 x14ac:dyDescent="0.15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 x14ac:dyDescent="0.15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 x14ac:dyDescent="0.15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6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 x14ac:dyDescent="0.15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0" t="s">
        <v>44</v>
      </c>
      <c r="L26" s="180" t="s">
        <v>182</v>
      </c>
      <c r="M26" s="30"/>
      <c r="N26" s="28"/>
      <c r="O26" s="34"/>
    </row>
    <row r="27" spans="1:19" ht="12.75" customHeight="1" x14ac:dyDescent="0.2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 x14ac:dyDescent="0.15">
      <c r="A28" s="22" t="s">
        <v>33</v>
      </c>
      <c r="B28" s="22">
        <v>45896</v>
      </c>
      <c r="C28" s="330" t="s">
        <v>168</v>
      </c>
      <c r="D28" s="32" t="s">
        <v>28</v>
      </c>
      <c r="E28" s="51" t="s">
        <v>102</v>
      </c>
      <c r="F28" s="326" t="s">
        <v>22</v>
      </c>
      <c r="G28" s="326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 x14ac:dyDescent="0.2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333"/>
      <c r="K29" s="330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 x14ac:dyDescent="0.15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 x14ac:dyDescent="0.15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 x14ac:dyDescent="0.15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 x14ac:dyDescent="0.15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 x14ac:dyDescent="0.15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 x14ac:dyDescent="0.15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 x14ac:dyDescent="0.15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6" t="s">
        <v>22</v>
      </c>
      <c r="H36" s="36"/>
      <c r="I36" s="51" t="s">
        <v>102</v>
      </c>
      <c r="J36" s="52"/>
      <c r="K36" s="326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 x14ac:dyDescent="0.15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 x14ac:dyDescent="0.15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 x14ac:dyDescent="0.15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 x14ac:dyDescent="0.15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68"/>
      <c r="O40" s="368"/>
      <c r="P40" s="3"/>
    </row>
    <row r="41" spans="1:18" ht="12" customHeight="1" x14ac:dyDescent="0.15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62" t="s">
        <v>64</v>
      </c>
      <c r="J41" s="362" t="s">
        <v>65</v>
      </c>
      <c r="K41" s="77" t="s">
        <v>66</v>
      </c>
      <c r="L41" s="362" t="s">
        <v>67</v>
      </c>
      <c r="M41" s="362" t="s">
        <v>68</v>
      </c>
      <c r="N41" s="98"/>
      <c r="O41" s="73"/>
    </row>
    <row r="42" spans="1:18" ht="12.75" customHeight="1" x14ac:dyDescent="0.15">
      <c r="A42" s="73"/>
      <c r="B42" s="73"/>
      <c r="C42" s="161" t="s">
        <v>38</v>
      </c>
      <c r="D42" s="236">
        <v>1</v>
      </c>
      <c r="E42" s="363">
        <f>COUNTIF($C$4:$C$38,"BOULAT")+COUNTIF($F$4:$F$38,"BOULAT")+COUNTIF($I$4:$I$38,"BOULAT")+COUNTIF($K$4:$K$38,"BOULAT")</f>
        <v>8</v>
      </c>
      <c r="F42" s="363">
        <f>COUNTIF($D$4:$D$38,"BOULAT")+COUNTIF($G$4:$G$38,"BOULAT")</f>
        <v>6</v>
      </c>
      <c r="G42" s="363">
        <f>COUNTIF($E$4:$E$38,"BOULAT")</f>
        <v>0</v>
      </c>
      <c r="H42" s="161"/>
      <c r="I42" s="363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 x14ac:dyDescent="0.15">
      <c r="A43" s="73"/>
      <c r="B43" s="73"/>
      <c r="C43" s="161" t="s">
        <v>36</v>
      </c>
      <c r="D43" s="236">
        <v>1</v>
      </c>
      <c r="E43" s="363">
        <f>COUNTIF($C$4:$C$38,"BRUGIROUX")+COUNTIF($F$4:$F$38,"BRUGIROUX")+COUNTIF($I$4:$I$38,"BRUGIROUX")+COUNTIF($K$4:$K$38,"BRUGIROUX")</f>
        <v>7</v>
      </c>
      <c r="F43" s="363">
        <f>COUNTIF($D$4:$D$38,"BRUGIROUX")+COUNTIF($G$4:$G$38,"BRUGIROUX")</f>
        <v>10</v>
      </c>
      <c r="G43" s="363">
        <f>COUNTIF($E$4:$E$38,"BRUGIROUX")</f>
        <v>0</v>
      </c>
      <c r="H43" s="161">
        <v>1</v>
      </c>
      <c r="I43" s="363">
        <v>2</v>
      </c>
      <c r="J43" s="162">
        <f t="shared" si="0"/>
        <v>41.4</v>
      </c>
      <c r="K43" s="256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 x14ac:dyDescent="0.15">
      <c r="A44" s="73"/>
      <c r="B44" s="73"/>
      <c r="C44" s="161" t="s">
        <v>21</v>
      </c>
      <c r="D44" s="239">
        <v>0.5</v>
      </c>
      <c r="E44" s="363">
        <f>COUNTIF($C$4:$C$38,"CAUVY")+COUNTIF($F$4:$F$38,"CAUVY")+COUNTIF($I$4:$I$38,"CAUVY")+COUNTIF($K$4:$K$38,"CAUVY")</f>
        <v>2</v>
      </c>
      <c r="F44" s="363">
        <f>COUNTIF($D$4:$D$38,"CAUVY")+COUNTIF($G$4:$G$38,"CAUVY")</f>
        <v>0</v>
      </c>
      <c r="G44" s="363">
        <f>COUNTIF($E$4:$E$38,"CAUVY")</f>
        <v>1</v>
      </c>
      <c r="H44" s="363"/>
      <c r="I44" s="363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 x14ac:dyDescent="0.15">
      <c r="A45" s="73"/>
      <c r="B45" s="73"/>
      <c r="C45" s="161" t="s">
        <v>31</v>
      </c>
      <c r="D45" s="239">
        <v>0.8</v>
      </c>
      <c r="E45" s="363">
        <f>COUNTIF($C$4:$C$38,"FONTAINE")+COUNTIF($F$4:$F$38,"FONTAINE")+COUNTIF($I$4:$I$38,"FONTAINE")+COUNTIF($K$4:$K$38,"FONTAINE")</f>
        <v>5</v>
      </c>
      <c r="F45" s="363">
        <f>COUNTIF($D$4:$D$38,"FONTAINE")+COUNTIF($G$4:$G$38,"FONTAINE")</f>
        <v>4</v>
      </c>
      <c r="G45" s="363">
        <f>COUNTIF($E$4:$E$38,"FONTAINE")</f>
        <v>1</v>
      </c>
      <c r="H45" s="161"/>
      <c r="I45" s="363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 x14ac:dyDescent="0.15">
      <c r="A46" s="3"/>
      <c r="B46" s="3"/>
      <c r="C46" s="162" t="s">
        <v>28</v>
      </c>
      <c r="D46" s="221">
        <v>0.6</v>
      </c>
      <c r="E46" s="363">
        <f>COUNTIF($C$4:$C$38,"KANTCHE")+COUNTIF($F$4:$F$38,"KANTCHE")+COUNTIF($I$4:$I$38,"KANTCHE")+COUNTIF($K$4:$K$38,"KANTCHE")</f>
        <v>5</v>
      </c>
      <c r="F46" s="363">
        <f>COUNTIF($D$4:$D$38,"KANTCHE")+COUNTIF($G$4:$G$38,"KANTCHE")</f>
        <v>1</v>
      </c>
      <c r="G46" s="363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 x14ac:dyDescent="0.15">
      <c r="A47" s="3"/>
      <c r="B47" s="3"/>
      <c r="C47" s="162" t="s">
        <v>42</v>
      </c>
      <c r="D47" s="221">
        <v>1</v>
      </c>
      <c r="E47" s="363">
        <f>COUNTIF($C$4:$C$38,"ORIOLI")+COUNTIF($F$4:$F$38,"ORIOLI")+COUNTIF($I$4:$I$38,"ORIOLI")+COUNTIF($K$4:$K$38,"ORIOLI")</f>
        <v>7</v>
      </c>
      <c r="F47" s="363">
        <f>COUNTIF($D$4:$D$38,"ORIOLI")+COUNTIF($G$4:$G$38,"ORIOLI")</f>
        <v>7</v>
      </c>
      <c r="G47" s="363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 x14ac:dyDescent="0.15">
      <c r="A48" s="3"/>
      <c r="B48" s="3"/>
      <c r="C48" s="162" t="s">
        <v>47</v>
      </c>
      <c r="D48" s="221">
        <v>0.5</v>
      </c>
      <c r="E48" s="363">
        <f>COUNTIF($C$4:$C$38,"TKATCHOUK")+COUNTIF($F$4:$F$38,"TKATCHOUK")+COUNTIF($I$4:$I$38,"TKATCHOUK")+COUNTIF($K$4:$K$38,"TKATCHOUK")</f>
        <v>0</v>
      </c>
      <c r="F48" s="363">
        <f>COUNTIF($D$4:$D$38,"TKATCHOUK")+COUNTIF($G$4:$G$38,"TKATCHOUK")</f>
        <v>0</v>
      </c>
      <c r="G48" s="363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 x14ac:dyDescent="0.15">
      <c r="A49" s="3"/>
      <c r="B49" s="3"/>
      <c r="C49" s="162" t="s">
        <v>20</v>
      </c>
      <c r="D49" s="221">
        <v>1</v>
      </c>
      <c r="E49" s="363">
        <f>COUNTIF($C$4:$C$38,"TORREGROSSA")+COUNTIF($F$4:$F$38,"TORREGROSSA")+COUNTIF($K$4:$K$38,"TORREGROSSA")+COUNTIF($I$4:$I$38,"TORREGROSSA")</f>
        <v>10</v>
      </c>
      <c r="F49" s="363">
        <f>COUNTIF($D$4:$D$38,"TORREGROSSA")+COUNTIF($G$4:$G$38,"TORREGROSSA")</f>
        <v>3</v>
      </c>
      <c r="G49" s="363">
        <f>COUNTIF($E$4:$E$38,"TORREGROSSA")</f>
        <v>0</v>
      </c>
      <c r="H49" s="363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 x14ac:dyDescent="0.15">
      <c r="A50" s="3"/>
      <c r="B50" s="3"/>
      <c r="C50" s="162" t="s">
        <v>19</v>
      </c>
      <c r="D50" s="221">
        <v>0.4</v>
      </c>
      <c r="E50" s="363">
        <f>COUNTIF($C$4:$C$38,"BALLOT")+COUNTIF($F$4:$F$38,"BALLOT")+COUNTIF($I$4:$I$38,"BALLOT")+COUNTIF($K$4:$K$38,"BALLOT")</f>
        <v>1</v>
      </c>
      <c r="F50" s="363">
        <f>COUNTIF($D$4:$D$38,"BALLOT")+COUNTIF($G$4:$G$38,"BALLOT")</f>
        <v>0</v>
      </c>
      <c r="G50" s="363">
        <f>COUNTIF($E$4:$E$38,"BALLOT")</f>
        <v>2</v>
      </c>
      <c r="H50" s="363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 x14ac:dyDescent="0.15">
      <c r="A51" s="3"/>
      <c r="B51" s="3"/>
      <c r="C51" s="162" t="s">
        <v>37</v>
      </c>
      <c r="D51" s="221">
        <v>0.4</v>
      </c>
      <c r="E51" s="363">
        <f>COUNTIF($C$4:$C$38,"MOREL")+COUNTIF($F$4:$F$38,"MOREL")+COUNTIF($I$4:$I$38,"MOREL")+COUNTIF($K$4:$K$38,"MOREL")</f>
        <v>8</v>
      </c>
      <c r="F51" s="363">
        <f>COUNTIF($D$4:$D$38,"MOREL")+COUNTIF($G$4:$G$38,"MOREL")</f>
        <v>0</v>
      </c>
      <c r="G51" s="363">
        <f>COUNTIF($E$4:$E$38,"MOREL")</f>
        <v>0</v>
      </c>
      <c r="H51" s="363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 x14ac:dyDescent="0.15">
      <c r="A52" s="3"/>
      <c r="B52" s="3"/>
      <c r="C52" s="162" t="s">
        <v>27</v>
      </c>
      <c r="D52" s="221">
        <v>0.8</v>
      </c>
      <c r="E52" s="363">
        <f>COUNTIF($C$4:$C$38,"RACHIDI")+COUNTIF($F$4:$F$38,"RACHIDI")+COUNTIF($I$4:$I$38,"RACHIDI")+COUNTIF($K$4:$K$38,"RACHIDI")</f>
        <v>6</v>
      </c>
      <c r="F52" s="363">
        <f>COUNTIF($D$4:$D$38,"RACHIDI")+COUNTIF($G$4:$G$38,"RACHIDI")</f>
        <v>8</v>
      </c>
      <c r="G52" s="363">
        <f>COUNTIF($E$4:$E$38,"RACHIDI")</f>
        <v>0</v>
      </c>
      <c r="H52" s="363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 x14ac:dyDescent="0.15">
      <c r="A53" s="3"/>
      <c r="B53" s="3"/>
      <c r="C53" s="162" t="s">
        <v>34</v>
      </c>
      <c r="D53" s="221">
        <v>1</v>
      </c>
      <c r="E53" s="363">
        <f>COUNTIF($C$4:$C$38,"ZEBICHE")+COUNTIF($F$4:$F$38,"ZEBICHE")+COUNTIF($I$4:$I$38,"ZEBICHE")+COUNTIF($K$4:$K$38,"ZEBICHE")</f>
        <v>9</v>
      </c>
      <c r="F53" s="363">
        <f>COUNTIF($D$4:$D$38,"ZEBICHE")+COUNTIF($G$4:$G$38,"ZEBICHE")</f>
        <v>9</v>
      </c>
      <c r="G53" s="363">
        <f>COUNTIF($E$4:$E$38,"ZEBICHE")</f>
        <v>0</v>
      </c>
      <c r="H53" s="363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 x14ac:dyDescent="0.15">
      <c r="A54" s="3"/>
      <c r="B54" s="3"/>
      <c r="C54" s="162" t="s">
        <v>22</v>
      </c>
      <c r="D54" s="221">
        <v>1</v>
      </c>
      <c r="E54" s="363">
        <f>COUNTIF($C$4:$C$38,"HACHIMI")+COUNTIF($F$4:$F$38,"HACHIMI")+COUNTIF($H$4:$H$38,"HACHIMI")+COUNTIF($I$4:$I$38,"HACHIMI")+H65+COUNTIF($K$4:$K$38,"HACHIMI")</f>
        <v>5</v>
      </c>
      <c r="F54" s="363">
        <v>5</v>
      </c>
      <c r="G54" s="363">
        <f>COUNTIF($E$4:$E$38,"HACHIMI")</f>
        <v>0</v>
      </c>
      <c r="H54" s="363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 x14ac:dyDescent="0.15">
      <c r="A55" s="3"/>
      <c r="B55" s="3"/>
      <c r="C55" s="162" t="s">
        <v>29</v>
      </c>
      <c r="D55" s="221">
        <v>1</v>
      </c>
      <c r="E55" s="363">
        <f>COUNTIF($C$4:$C$38,"BIENDOUX")+COUNTIF($F$4:$F$38,"BIENDOUX")+COUNTIF($H$4:$H$38,"BIENDOUX")+COUNTIF($I$4:$I$38,"BIENDOUX")+H66+COUNTIF($K$4:$K$38,"BIENDOUX")</f>
        <v>14</v>
      </c>
      <c r="F55" s="363">
        <v>5</v>
      </c>
      <c r="G55" s="363">
        <f>COUNTIF($E$4:$E$38,"BIENDOUX")</f>
        <v>1</v>
      </c>
      <c r="H55" s="363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 x14ac:dyDescent="0.15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63">
        <v>9</v>
      </c>
      <c r="G56" s="363">
        <f>COUNTIF($E$4:$E$38,"AFZAL")</f>
        <v>1</v>
      </c>
      <c r="H56" s="363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 x14ac:dyDescent="0.15">
      <c r="A57" s="3"/>
      <c r="B57" s="3"/>
      <c r="C57" s="162" t="s">
        <v>44</v>
      </c>
      <c r="D57" s="221">
        <v>1</v>
      </c>
      <c r="E57" s="363">
        <v>8</v>
      </c>
      <c r="F57" s="363">
        <v>9</v>
      </c>
      <c r="G57" s="363">
        <f>COUNTIF($E$4:$E$38,"IBRAHIM")</f>
        <v>3</v>
      </c>
      <c r="H57" s="363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 x14ac:dyDescent="0.15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63">
        <f>COUNTIF($D$4:$D$38,"IMAD")+COUNTIF($H$4:$H$38,"IMAD")+COUNTIF($G$4:$G$38,"IMAD")</f>
        <v>3</v>
      </c>
      <c r="G58" s="363">
        <f>COUNTIF($E$4:$E$38,"IMAD")</f>
        <v>1</v>
      </c>
      <c r="H58" s="363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 x14ac:dyDescent="0.15">
      <c r="A59" s="3"/>
      <c r="B59" s="3"/>
      <c r="C59" s="162" t="s">
        <v>32</v>
      </c>
      <c r="D59" s="261">
        <v>1</v>
      </c>
      <c r="E59" s="363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63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 x14ac:dyDescent="0.15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63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 x14ac:dyDescent="0.15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63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343">
        <f>E61*10+F61*14+G61*12+H61*10</f>
        <v>202</v>
      </c>
      <c r="M61" s="238">
        <f t="shared" si="2"/>
        <v>7</v>
      </c>
      <c r="N61" s="31"/>
      <c r="O61" s="72"/>
    </row>
    <row r="62" spans="1:15" ht="12" customHeight="1" x14ac:dyDescent="0.15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 x14ac:dyDescent="0.15">
      <c r="A63" s="3"/>
      <c r="B63" s="73"/>
      <c r="C63" s="369" t="s">
        <v>57</v>
      </c>
      <c r="D63" s="369"/>
      <c r="E63" s="369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 x14ac:dyDescent="0.15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 x14ac:dyDescent="0.15">
      <c r="A65" s="3"/>
      <c r="B65" s="339" t="s">
        <v>38</v>
      </c>
      <c r="C65" s="340">
        <f>MAI!L37+JUIN!L44+JUILLET!K37+AOUT!K42</f>
        <v>553.79999999999995</v>
      </c>
      <c r="D65" s="338">
        <f>MAI!M37+JUIN!M44+JUILLET!L37+AOUT!L42</f>
        <v>558</v>
      </c>
      <c r="E65" s="341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 x14ac:dyDescent="0.15">
      <c r="A66" s="3"/>
      <c r="B66" s="342" t="s">
        <v>36</v>
      </c>
      <c r="C66" s="338">
        <f>MAI!L38+JUIN!L45+JUILLET!K38+AOUT!K43</f>
        <v>631.79999999999995</v>
      </c>
      <c r="D66" s="338">
        <f>MAI!M38+JUIN!M45+JUILLET!L38+AOUT!L43</f>
        <v>830</v>
      </c>
      <c r="E66" s="337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 x14ac:dyDescent="0.15">
      <c r="A67" s="3"/>
      <c r="B67" s="339" t="s">
        <v>21</v>
      </c>
      <c r="C67" s="338">
        <f>MAI!L39+JUIN!L46+JUILLET!K39+AOUT!K44</f>
        <v>245.7</v>
      </c>
      <c r="D67" s="338">
        <f>MAI!M39+JUIN!M46+JUILLET!L39+AOUT!L44</f>
        <v>254</v>
      </c>
      <c r="E67" s="337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 x14ac:dyDescent="0.15">
      <c r="A68" s="3"/>
      <c r="B68" s="339" t="s">
        <v>31</v>
      </c>
      <c r="C68" s="338">
        <f>MAI!L40+JUIN!L47+JUILLET!K40+AOUT!K45</f>
        <v>424.32</v>
      </c>
      <c r="D68" s="338">
        <f>MAI!M40+JUIN!M47+JUILLET!L40+AOUT!L45</f>
        <v>486</v>
      </c>
      <c r="E68" s="337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 x14ac:dyDescent="0.15">
      <c r="A69" s="3" t="s">
        <v>186</v>
      </c>
      <c r="B69" s="337" t="s">
        <v>28</v>
      </c>
      <c r="C69" s="338">
        <f>MAI!L41+JUIN!L48+JUILLET!K41+AOUT!K46</f>
        <v>327.60000000000002</v>
      </c>
      <c r="D69" s="338">
        <f>MAI!M41+JUIN!M48+JUILLET!L41+AOUT!L46</f>
        <v>422</v>
      </c>
      <c r="E69" s="337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 x14ac:dyDescent="0.15">
      <c r="A70" s="3" t="s">
        <v>187</v>
      </c>
      <c r="B70" s="337" t="s">
        <v>42</v>
      </c>
      <c r="C70" s="338">
        <f>MAI!L42+JUIN!L49+JUILLET!K42+AOUT!K47</f>
        <v>514.79999999999995</v>
      </c>
      <c r="D70" s="338">
        <f>MAI!M42+JUIN!M49+JUILLET!L42+AOUT!L47</f>
        <v>542</v>
      </c>
      <c r="E70" s="337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 x14ac:dyDescent="0.15">
      <c r="A71" s="3"/>
      <c r="B71" s="337" t="s">
        <v>47</v>
      </c>
      <c r="C71" s="338">
        <f>MAI!L43+JUIN!L50+JUILLET!K43+AOUT!K48</f>
        <v>319.79999999999995</v>
      </c>
      <c r="D71" s="338">
        <f>MAI!M43+JUIN!M50+JUILLET!L43+AOUT!L48</f>
        <v>348</v>
      </c>
      <c r="E71" s="337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 x14ac:dyDescent="0.15">
      <c r="A72" s="3"/>
      <c r="B72" s="337" t="s">
        <v>20</v>
      </c>
      <c r="C72" s="338">
        <f>MAI!L44+JUIN!L51+JUILLET!K44+AOUT!K49</f>
        <v>522.59999999999991</v>
      </c>
      <c r="D72" s="338">
        <f>MAI!M44+JUIN!M51+JUILLET!L44+AOUT!L49</f>
        <v>600</v>
      </c>
      <c r="E72" s="337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 x14ac:dyDescent="0.15">
      <c r="A73" s="3"/>
      <c r="B73" s="337" t="s">
        <v>19</v>
      </c>
      <c r="C73" s="338">
        <f>+MAI!L45+JUIN!L52+JUILLET!K45+AOUT!K50</f>
        <v>227.76000000000002</v>
      </c>
      <c r="D73" s="338">
        <f>MAI!M45+JUIN!M52+JUILLET!L45+AOUT!L50</f>
        <v>230</v>
      </c>
      <c r="E73" s="337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 x14ac:dyDescent="0.15">
      <c r="A74" s="3"/>
      <c r="B74" s="337" t="s">
        <v>37</v>
      </c>
      <c r="C74" s="338">
        <f>MAI!L46+JUIN!L53+JUILLET!K46+AOUT!K51</f>
        <v>237.12</v>
      </c>
      <c r="D74" s="338">
        <f>MAI!M46+JUIN!M53+JUILLET!L46+AOUT!L51</f>
        <v>270</v>
      </c>
      <c r="E74" s="337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 x14ac:dyDescent="0.15">
      <c r="A75" s="3"/>
      <c r="B75" s="337" t="s">
        <v>27</v>
      </c>
      <c r="C75" s="338">
        <f>MAI!L47+JUIN!L54+JUILLET!K47+AOUT!K52</f>
        <v>449.28</v>
      </c>
      <c r="D75" s="338">
        <f>MAI!M47+JUIN!M54+JUILLET!L47+AOUT!L52</f>
        <v>474</v>
      </c>
      <c r="E75" s="337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 x14ac:dyDescent="0.15">
      <c r="A76" s="3"/>
      <c r="B76" s="337" t="s">
        <v>34</v>
      </c>
      <c r="C76" s="338">
        <f>MAI!L48+JUIN!L55+JUILLET!K48+AOUT!K53</f>
        <v>592.79999999999995</v>
      </c>
      <c r="D76" s="338">
        <f>MAI!M48+JUIN!M55+JUILLET!L48+AOUT!L53</f>
        <v>682</v>
      </c>
      <c r="E76" s="337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 x14ac:dyDescent="0.15">
      <c r="A77" s="3"/>
      <c r="B77" s="337" t="s">
        <v>22</v>
      </c>
      <c r="C77" s="338">
        <f>MAI!L49+JUIN!L56+JUILLET!K49+AOUT!K54</f>
        <v>553.79999999999995</v>
      </c>
      <c r="D77" s="338">
        <f>MAI!M49+JUIN!M56+JUILLET!L49+AOUT!L54</f>
        <v>696</v>
      </c>
      <c r="E77" s="337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 x14ac:dyDescent="0.15">
      <c r="A78" s="3"/>
      <c r="B78" s="337" t="s">
        <v>29</v>
      </c>
      <c r="C78" s="338">
        <f>MAI!L50+JUIN!L57+JUILLET!K50+AOUT!K55</f>
        <v>616.20000000000005</v>
      </c>
      <c r="D78" s="338">
        <f>MAI!M50+JUIN!M57+JUILLET!L50+AOUT!L55</f>
        <v>820</v>
      </c>
      <c r="E78" s="337">
        <f t="shared" si="5"/>
        <v>203.79999999999995</v>
      </c>
      <c r="F78" s="163">
        <f t="shared" si="4"/>
        <v>8.4916666666666654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 x14ac:dyDescent="0.15">
      <c r="A79" s="3"/>
      <c r="B79" s="337" t="s">
        <v>48</v>
      </c>
      <c r="C79" s="338">
        <f>MAI!L51+JUIN!L58+JUILLET!K51+AOUT!K56</f>
        <v>670.8</v>
      </c>
      <c r="D79" s="338">
        <f>MAI!M51+JUIN!M58+JUILLET!L51+AOUT!L56</f>
        <v>902</v>
      </c>
      <c r="E79" s="337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 x14ac:dyDescent="0.15">
      <c r="A80" s="3"/>
      <c r="B80" s="337" t="s">
        <v>44</v>
      </c>
      <c r="C80" s="338">
        <f>MAI!L52+JUIN!L59+JUILLET!K52+AOUT!K57</f>
        <v>592.79999999999995</v>
      </c>
      <c r="D80" s="338">
        <f>MAI!M52+JUIN!M59+JUILLET!L52+AOUT!L57</f>
        <v>688</v>
      </c>
      <c r="E80" s="337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 x14ac:dyDescent="0.15">
      <c r="A81" s="3"/>
      <c r="B81" s="337" t="s">
        <v>23</v>
      </c>
      <c r="C81" s="338">
        <f>MAI!L53+JUIN!L60+JUILLET!K53+AOUT!K58</f>
        <v>569.4</v>
      </c>
      <c r="D81" s="338">
        <f>MAI!M53+JUIN!M60+JUILLET!L53+AOUT!L58</f>
        <v>593</v>
      </c>
      <c r="E81" s="337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 x14ac:dyDescent="0.15">
      <c r="A82" s="3"/>
      <c r="B82" s="337" t="s">
        <v>32</v>
      </c>
      <c r="C82" s="338">
        <f>MAI!L54+JUIN!L61+JUILLET!K54+AOUT!K59</f>
        <v>624</v>
      </c>
      <c r="D82" s="338">
        <f>MAI!M54+JUIN!M61+JUILLET!L54+AOUT!L59</f>
        <v>780</v>
      </c>
      <c r="E82" s="337">
        <f t="shared" si="5"/>
        <v>156</v>
      </c>
      <c r="F82" s="163">
        <f t="shared" si="4"/>
        <v>6.5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 x14ac:dyDescent="0.15">
      <c r="A83" s="3" t="s">
        <v>188</v>
      </c>
      <c r="B83" s="337" t="s">
        <v>102</v>
      </c>
      <c r="C83" s="338">
        <f>MAI!L55+JUIN!L62+JUILLET!K55+AOUT!K60</f>
        <v>670.8</v>
      </c>
      <c r="D83" s="338">
        <f>MAI!M55+JUIN!M62+JUILLET!L55+AOUT!L60</f>
        <v>750</v>
      </c>
      <c r="E83" s="337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 x14ac:dyDescent="0.15">
      <c r="A84" s="3"/>
      <c r="B84" s="335" t="s">
        <v>168</v>
      </c>
      <c r="C84" s="336">
        <f>MAI!L56+JUILLET!K56+AOUT!K61</f>
        <v>261.89999999999998</v>
      </c>
      <c r="D84" s="336">
        <f>MAI!M56+JUILLET!L56+AOUT!L61</f>
        <v>328</v>
      </c>
      <c r="E84" s="335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 x14ac:dyDescent="0.15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 x14ac:dyDescent="0.15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 x14ac:dyDescent="0.15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 x14ac:dyDescent="0.15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 x14ac:dyDescent="0.15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 x14ac:dyDescent="0.15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 x14ac:dyDescent="0.15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15</v>
      </c>
      <c r="K91" s="86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 x14ac:dyDescent="0.15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 x14ac:dyDescent="0.15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 x14ac:dyDescent="0.15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 x14ac:dyDescent="0.15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 x14ac:dyDescent="0.15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 x14ac:dyDescent="0.15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 x14ac:dyDescent="0.15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 x14ac:dyDescent="0.15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 x14ac:dyDescent="0.15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 x14ac:dyDescent="0.15">
      <c r="K829" s="6"/>
      <c r="L829" s="3"/>
      <c r="M829" s="3"/>
      <c r="N829" s="3"/>
      <c r="O829" s="3"/>
      <c r="P829" s="3"/>
      <c r="Q829" s="3"/>
      <c r="R829" s="3"/>
    </row>
    <row r="830" spans="1:18" ht="12" customHeight="1" x14ac:dyDescent="0.15">
      <c r="K830" s="6"/>
      <c r="L830" s="3"/>
      <c r="M830" s="3"/>
      <c r="N830" s="3"/>
      <c r="O830" s="3"/>
      <c r="P830" s="3"/>
      <c r="Q830" s="3"/>
      <c r="R830" s="3"/>
    </row>
    <row r="831" spans="1:18" ht="12" customHeight="1" x14ac:dyDescent="0.15">
      <c r="K831" s="6"/>
      <c r="L831" s="3"/>
      <c r="M831" s="3"/>
      <c r="N831" s="3"/>
      <c r="O831" s="3"/>
      <c r="P831" s="3"/>
      <c r="Q831" s="3"/>
      <c r="R831" s="3"/>
    </row>
    <row r="832" spans="1:18" ht="12" customHeight="1" x14ac:dyDescent="0.15">
      <c r="K832" s="6"/>
      <c r="L832" s="3"/>
      <c r="M832" s="3"/>
      <c r="N832" s="3"/>
      <c r="O832" s="3"/>
      <c r="P832" s="3"/>
      <c r="Q832" s="3"/>
      <c r="R832" s="3"/>
    </row>
    <row r="833" spans="11:18" ht="12" customHeight="1" x14ac:dyDescent="0.15">
      <c r="K833" s="6"/>
      <c r="L833" s="3"/>
      <c r="M833" s="3"/>
      <c r="N833" s="3"/>
      <c r="O833" s="3"/>
      <c r="P833" s="3"/>
      <c r="Q833" s="3"/>
      <c r="R833" s="3"/>
    </row>
    <row r="834" spans="11:18" ht="12" customHeight="1" x14ac:dyDescent="0.15">
      <c r="K834" s="6"/>
      <c r="L834" s="3"/>
      <c r="M834" s="3"/>
      <c r="N834" s="3"/>
      <c r="O834" s="3"/>
      <c r="P834" s="3"/>
      <c r="Q834" s="3"/>
      <c r="R834" s="3"/>
    </row>
    <row r="835" spans="11:18" ht="12" customHeight="1" x14ac:dyDescent="0.15">
      <c r="K835" s="6"/>
      <c r="L835" s="3"/>
      <c r="M835" s="3"/>
      <c r="N835" s="3"/>
      <c r="O835" s="3"/>
      <c r="P835" s="3"/>
      <c r="Q835" s="3"/>
      <c r="R835" s="3"/>
    </row>
    <row r="836" spans="11:18" ht="12" customHeight="1" x14ac:dyDescent="0.15">
      <c r="K836" s="6"/>
      <c r="L836" s="3"/>
      <c r="M836" s="3"/>
      <c r="N836" s="3"/>
      <c r="O836" s="3"/>
      <c r="P836" s="3"/>
      <c r="Q836" s="3"/>
      <c r="R836" s="3"/>
    </row>
    <row r="837" spans="11:18" ht="12" customHeight="1" x14ac:dyDescent="0.15">
      <c r="K837" s="6"/>
      <c r="L837" s="3"/>
      <c r="M837" s="3"/>
      <c r="N837" s="3"/>
      <c r="O837" s="3"/>
      <c r="P837" s="3"/>
      <c r="Q837" s="3"/>
      <c r="R837" s="3"/>
    </row>
    <row r="838" spans="11:18" ht="12" customHeight="1" x14ac:dyDescent="0.15">
      <c r="K838" s="6"/>
      <c r="L838" s="3"/>
      <c r="M838" s="3"/>
      <c r="N838" s="3"/>
      <c r="O838" s="3"/>
      <c r="P838" s="3"/>
      <c r="Q838" s="3"/>
      <c r="R838" s="3"/>
    </row>
    <row r="839" spans="11:18" ht="12" customHeight="1" x14ac:dyDescent="0.15">
      <c r="K839" s="6"/>
      <c r="L839" s="3"/>
      <c r="M839" s="3"/>
      <c r="N839" s="3"/>
      <c r="O839" s="3"/>
      <c r="P839" s="3"/>
      <c r="Q839" s="3"/>
      <c r="R839" s="3"/>
    </row>
    <row r="840" spans="11:18" ht="12" customHeight="1" x14ac:dyDescent="0.15">
      <c r="K840" s="6"/>
      <c r="L840" s="3"/>
      <c r="M840" s="3"/>
      <c r="N840" s="3"/>
      <c r="O840" s="3"/>
      <c r="P840" s="3"/>
      <c r="Q840" s="3"/>
      <c r="R840" s="3"/>
    </row>
    <row r="841" spans="11:18" ht="12" customHeight="1" x14ac:dyDescent="0.15">
      <c r="K841" s="6"/>
      <c r="L841" s="3"/>
      <c r="M841" s="3"/>
      <c r="N841" s="3"/>
      <c r="O841" s="3"/>
      <c r="P841" s="3"/>
      <c r="Q841" s="3"/>
      <c r="R841" s="3"/>
    </row>
    <row r="842" spans="11:18" ht="12" customHeight="1" x14ac:dyDescent="0.15">
      <c r="K842" s="6"/>
      <c r="L842" s="3"/>
      <c r="M842" s="3"/>
      <c r="N842" s="3"/>
      <c r="O842" s="3"/>
      <c r="P842" s="3"/>
      <c r="Q842" s="3"/>
      <c r="R842" s="3"/>
    </row>
    <row r="843" spans="11:18" ht="12" customHeight="1" x14ac:dyDescent="0.15">
      <c r="K843" s="6"/>
      <c r="L843" s="3"/>
      <c r="M843" s="3"/>
      <c r="N843" s="3"/>
      <c r="O843" s="3"/>
      <c r="P843" s="3"/>
      <c r="Q843" s="3"/>
      <c r="R843" s="3"/>
    </row>
    <row r="844" spans="11:18" ht="12" customHeight="1" x14ac:dyDescent="0.15">
      <c r="K844" s="6"/>
      <c r="L844" s="3"/>
      <c r="M844" s="3"/>
      <c r="N844" s="3"/>
      <c r="O844" s="3"/>
      <c r="P844" s="3"/>
      <c r="Q844" s="3"/>
      <c r="R844" s="3"/>
    </row>
    <row r="845" spans="11:18" ht="12" customHeight="1" x14ac:dyDescent="0.15">
      <c r="K845" s="6"/>
      <c r="L845" s="3"/>
      <c r="M845" s="3"/>
      <c r="N845" s="3"/>
      <c r="O845" s="3"/>
      <c r="P845" s="3"/>
      <c r="Q845" s="3"/>
      <c r="R845" s="3"/>
    </row>
    <row r="846" spans="11:18" ht="12" customHeight="1" x14ac:dyDescent="0.15">
      <c r="K846" s="6"/>
      <c r="L846" s="3"/>
      <c r="M846" s="3"/>
      <c r="N846" s="3"/>
      <c r="O846" s="3"/>
      <c r="P846" s="3"/>
      <c r="Q846" s="3"/>
      <c r="R846" s="3"/>
    </row>
    <row r="847" spans="11:18" ht="12" customHeight="1" x14ac:dyDescent="0.15">
      <c r="K847" s="6"/>
      <c r="L847" s="3"/>
      <c r="M847" s="3"/>
      <c r="N847" s="3"/>
      <c r="O847" s="3"/>
      <c r="P847" s="3"/>
      <c r="Q847" s="3"/>
      <c r="R847" s="3"/>
    </row>
    <row r="848" spans="11:18" ht="12" customHeight="1" x14ac:dyDescent="0.15">
      <c r="K848" s="6"/>
      <c r="L848" s="3"/>
      <c r="M848" s="3"/>
      <c r="N848" s="3"/>
      <c r="O848" s="3"/>
      <c r="P848" s="3"/>
      <c r="Q848" s="3"/>
      <c r="R848" s="3"/>
    </row>
    <row r="849" spans="11:18" ht="12" customHeight="1" x14ac:dyDescent="0.15">
      <c r="K849" s="6"/>
      <c r="L849" s="3"/>
      <c r="M849" s="3"/>
      <c r="N849" s="3"/>
      <c r="O849" s="3"/>
      <c r="P849" s="3"/>
      <c r="Q849" s="3"/>
      <c r="R849" s="3"/>
    </row>
    <row r="850" spans="11:18" ht="12" customHeight="1" x14ac:dyDescent="0.15">
      <c r="K850" s="6"/>
      <c r="L850" s="3"/>
      <c r="M850" s="3"/>
      <c r="N850" s="3"/>
      <c r="O850" s="3"/>
      <c r="P850" s="3"/>
      <c r="Q850" s="3"/>
      <c r="R850" s="3"/>
    </row>
    <row r="851" spans="11:18" ht="12" customHeight="1" x14ac:dyDescent="0.15">
      <c r="K851" s="6"/>
      <c r="L851" s="3"/>
      <c r="M851" s="3"/>
      <c r="N851" s="3"/>
      <c r="O851" s="3"/>
      <c r="P851" s="3"/>
      <c r="Q851" s="3"/>
      <c r="R851" s="3"/>
    </row>
    <row r="852" spans="11:18" ht="12" customHeight="1" x14ac:dyDescent="0.15">
      <c r="K852" s="6"/>
      <c r="L852" s="3"/>
      <c r="M852" s="3"/>
      <c r="N852" s="3"/>
      <c r="O852" s="3"/>
      <c r="P852" s="3"/>
      <c r="Q852" s="3"/>
      <c r="R852" s="3"/>
    </row>
    <row r="853" spans="11:18" ht="12" customHeight="1" x14ac:dyDescent="0.15">
      <c r="K853" s="6"/>
      <c r="L853" s="3"/>
      <c r="M853" s="3"/>
      <c r="N853" s="3"/>
      <c r="O853" s="3"/>
      <c r="P853" s="3"/>
      <c r="Q853" s="3"/>
      <c r="R853" s="3"/>
    </row>
    <row r="854" spans="11:18" ht="12" customHeight="1" x14ac:dyDescent="0.15">
      <c r="K854" s="6"/>
      <c r="L854" s="3"/>
      <c r="M854" s="3"/>
      <c r="N854" s="3"/>
      <c r="O854" s="3"/>
      <c r="P854" s="3"/>
      <c r="Q854" s="3"/>
      <c r="R854" s="3"/>
    </row>
    <row r="855" spans="11:18" ht="12" customHeight="1" x14ac:dyDescent="0.15">
      <c r="K855" s="6"/>
      <c r="L855" s="3"/>
      <c r="M855" s="3"/>
      <c r="N855" s="3"/>
      <c r="O855" s="3"/>
      <c r="P855" s="3"/>
      <c r="Q855" s="3"/>
      <c r="R855" s="3"/>
    </row>
    <row r="856" spans="11:18" ht="12" customHeight="1" x14ac:dyDescent="0.15">
      <c r="K856" s="6"/>
      <c r="L856" s="3"/>
      <c r="M856" s="3"/>
      <c r="N856" s="3"/>
      <c r="O856" s="3"/>
      <c r="P856" s="3"/>
      <c r="Q856" s="3"/>
      <c r="R856" s="3"/>
    </row>
    <row r="857" spans="11:18" ht="12" customHeight="1" x14ac:dyDescent="0.15">
      <c r="K857" s="6"/>
      <c r="L857" s="3"/>
      <c r="M857" s="3"/>
      <c r="N857" s="3"/>
      <c r="O857" s="3"/>
      <c r="P857" s="3"/>
      <c r="Q857" s="3"/>
      <c r="R857" s="3"/>
    </row>
    <row r="858" spans="11:18" ht="12" customHeight="1" x14ac:dyDescent="0.15">
      <c r="K858" s="6"/>
      <c r="L858" s="3"/>
      <c r="M858" s="3"/>
      <c r="N858" s="3"/>
      <c r="O858" s="3"/>
      <c r="P858" s="3"/>
      <c r="Q858" s="3"/>
      <c r="R858" s="3"/>
    </row>
    <row r="859" spans="11:18" ht="12" customHeight="1" x14ac:dyDescent="0.15">
      <c r="K859" s="6"/>
      <c r="L859" s="3"/>
      <c r="M859" s="3"/>
      <c r="N859" s="3"/>
      <c r="O859" s="3"/>
      <c r="P859" s="3"/>
      <c r="Q859" s="3"/>
      <c r="R859" s="3"/>
    </row>
    <row r="860" spans="11:18" ht="12" customHeight="1" x14ac:dyDescent="0.15">
      <c r="K860" s="6"/>
      <c r="L860" s="3"/>
      <c r="M860" s="3"/>
      <c r="N860" s="3"/>
      <c r="O860" s="3"/>
      <c r="P860" s="3"/>
      <c r="Q860" s="3"/>
      <c r="R860" s="3"/>
    </row>
    <row r="861" spans="11:18" ht="12" customHeight="1" x14ac:dyDescent="0.15">
      <c r="K861" s="6"/>
      <c r="L861" s="3"/>
      <c r="M861" s="3"/>
      <c r="N861" s="3"/>
      <c r="O861" s="3"/>
      <c r="P861" s="3"/>
      <c r="Q861" s="3"/>
      <c r="R861" s="3"/>
    </row>
    <row r="862" spans="11:18" ht="12" customHeight="1" x14ac:dyDescent="0.15">
      <c r="K862" s="6"/>
      <c r="L862" s="3"/>
      <c r="M862" s="3"/>
      <c r="N862" s="3"/>
      <c r="O862" s="3"/>
      <c r="P862" s="3"/>
      <c r="Q862" s="3"/>
      <c r="R862" s="3"/>
    </row>
    <row r="863" spans="11:18" ht="12" customHeight="1" x14ac:dyDescent="0.15">
      <c r="K863" s="6"/>
      <c r="L863" s="3"/>
      <c r="M863" s="3"/>
      <c r="N863" s="3"/>
      <c r="O863" s="3"/>
      <c r="P863" s="3"/>
      <c r="Q863" s="3"/>
      <c r="R863" s="3"/>
    </row>
    <row r="864" spans="11:18" ht="12" customHeight="1" x14ac:dyDescent="0.15">
      <c r="K864" s="6"/>
      <c r="L864" s="3"/>
      <c r="M864" s="3"/>
      <c r="N864" s="3"/>
      <c r="O864" s="3"/>
      <c r="P864" s="3"/>
      <c r="Q864" s="3"/>
      <c r="R864" s="3"/>
    </row>
    <row r="865" spans="11:18" ht="12" customHeight="1" x14ac:dyDescent="0.15">
      <c r="K865" s="6"/>
      <c r="L865" s="3"/>
      <c r="M865" s="3"/>
      <c r="N865" s="3"/>
      <c r="O865" s="3"/>
      <c r="P865" s="3"/>
      <c r="Q865" s="3"/>
      <c r="R865" s="3"/>
    </row>
    <row r="866" spans="11:18" ht="12" customHeight="1" x14ac:dyDescent="0.15">
      <c r="K866" s="6"/>
      <c r="L866" s="3"/>
      <c r="M866" s="3"/>
      <c r="N866" s="3"/>
      <c r="O866" s="3"/>
      <c r="P866" s="3"/>
      <c r="Q866" s="3"/>
      <c r="R866" s="3"/>
    </row>
    <row r="867" spans="11:18" ht="12" customHeight="1" x14ac:dyDescent="0.15">
      <c r="K867" s="6"/>
      <c r="L867" s="3"/>
      <c r="M867" s="3"/>
      <c r="N867" s="3"/>
      <c r="O867" s="3"/>
      <c r="P867" s="3"/>
      <c r="Q867" s="3"/>
      <c r="R867" s="3"/>
    </row>
    <row r="868" spans="11:18" ht="12" customHeight="1" x14ac:dyDescent="0.15">
      <c r="K868" s="6"/>
      <c r="L868" s="3"/>
      <c r="M868" s="3"/>
      <c r="N868" s="3"/>
      <c r="O868" s="3"/>
      <c r="P868" s="3"/>
      <c r="Q868" s="3"/>
      <c r="R868" s="3"/>
    </row>
    <row r="869" spans="11:18" ht="12" customHeight="1" x14ac:dyDescent="0.15">
      <c r="K869" s="6"/>
      <c r="L869" s="3"/>
      <c r="M869" s="3"/>
      <c r="N869" s="3"/>
      <c r="O869" s="3"/>
      <c r="P869" s="3"/>
      <c r="Q869" s="3"/>
      <c r="R869" s="3"/>
    </row>
    <row r="870" spans="11:18" ht="12" customHeight="1" x14ac:dyDescent="0.15">
      <c r="K870" s="6"/>
      <c r="L870" s="3"/>
      <c r="M870" s="3"/>
      <c r="N870" s="3"/>
      <c r="O870" s="3"/>
      <c r="P870" s="3"/>
      <c r="Q870" s="3"/>
      <c r="R870" s="3"/>
    </row>
    <row r="871" spans="11:18" ht="12" customHeight="1" x14ac:dyDescent="0.15">
      <c r="K871" s="6"/>
      <c r="L871" s="3"/>
      <c r="M871" s="3"/>
      <c r="N871" s="3"/>
      <c r="O871" s="3"/>
      <c r="P871" s="3"/>
      <c r="Q871" s="3"/>
      <c r="R871" s="3"/>
    </row>
    <row r="872" spans="11:18" ht="12" customHeight="1" x14ac:dyDescent="0.15">
      <c r="K872" s="6"/>
      <c r="L872" s="3"/>
      <c r="M872" s="3"/>
      <c r="N872" s="3"/>
      <c r="O872" s="3"/>
      <c r="P872" s="3"/>
      <c r="Q872" s="3"/>
      <c r="R872" s="3"/>
    </row>
    <row r="873" spans="11:18" ht="12" customHeight="1" x14ac:dyDescent="0.15">
      <c r="K873" s="6"/>
      <c r="L873" s="3"/>
      <c r="M873" s="3"/>
      <c r="N873" s="3"/>
      <c r="O873" s="3"/>
      <c r="P873" s="3"/>
      <c r="Q873" s="3"/>
      <c r="R873" s="3"/>
    </row>
    <row r="874" spans="11:18" ht="12" customHeight="1" x14ac:dyDescent="0.15">
      <c r="K874" s="6"/>
      <c r="L874" s="3"/>
      <c r="M874" s="3"/>
      <c r="N874" s="3"/>
      <c r="O874" s="3"/>
      <c r="P874" s="3"/>
      <c r="Q874" s="3"/>
      <c r="R874" s="3"/>
    </row>
    <row r="875" spans="11:18" ht="12" customHeight="1" x14ac:dyDescent="0.15">
      <c r="K875" s="6"/>
      <c r="L875" s="3"/>
      <c r="M875" s="3"/>
      <c r="N875" s="3"/>
      <c r="O875" s="3"/>
      <c r="P875" s="3"/>
      <c r="Q875" s="3"/>
      <c r="R875" s="3"/>
    </row>
    <row r="876" spans="11:18" ht="12" customHeight="1" x14ac:dyDescent="0.15">
      <c r="K876" s="6"/>
      <c r="L876" s="3"/>
      <c r="M876" s="3"/>
      <c r="N876" s="3"/>
      <c r="O876" s="3"/>
      <c r="P876" s="3"/>
      <c r="Q876" s="3"/>
      <c r="R876" s="3"/>
    </row>
    <row r="877" spans="11:18" ht="12" customHeight="1" x14ac:dyDescent="0.15">
      <c r="K877" s="6"/>
      <c r="L877" s="3"/>
      <c r="M877" s="3"/>
      <c r="N877" s="3"/>
      <c r="O877" s="3"/>
      <c r="P877" s="3"/>
      <c r="Q877" s="3"/>
      <c r="R877" s="3"/>
    </row>
    <row r="878" spans="11:18" ht="12" customHeight="1" x14ac:dyDescent="0.15">
      <c r="K878" s="6"/>
      <c r="L878" s="3"/>
      <c r="M878" s="3"/>
      <c r="N878" s="3"/>
      <c r="O878" s="3"/>
      <c r="P878" s="3"/>
      <c r="Q878" s="3"/>
      <c r="R878" s="3"/>
    </row>
    <row r="879" spans="11:18" ht="12" customHeight="1" x14ac:dyDescent="0.15">
      <c r="K879" s="6"/>
      <c r="L879" s="3"/>
      <c r="M879" s="3"/>
      <c r="N879" s="3"/>
      <c r="O879" s="3"/>
      <c r="P879" s="3"/>
      <c r="Q879" s="3"/>
      <c r="R879" s="3"/>
    </row>
    <row r="880" spans="11:18" ht="15" customHeight="1" x14ac:dyDescent="0.15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opLeftCell="A23" zoomScale="111" zoomScaleNormal="111" workbookViewId="0">
      <selection activeCell="I48" sqref="I48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6.16015625" style="1" customWidth="1"/>
    <col min="9" max="9" width="14.03515625" style="2" customWidth="1"/>
    <col min="10" max="10" width="14.98046875" style="1" customWidth="1"/>
    <col min="11" max="11" width="15.3359375" style="1" customWidth="1"/>
    <col min="12" max="12" width="15.5703125" style="1" customWidth="1"/>
    <col min="13" max="13" width="12.50390625" style="1" customWidth="1"/>
    <col min="14" max="14" width="10.02734375" style="1" customWidth="1"/>
    <col min="15" max="15" width="7.667968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5" t="s">
        <v>189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5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6"/>
      <c r="J2" s="368" t="s">
        <v>4</v>
      </c>
      <c r="K2" s="368"/>
      <c r="L2" s="368"/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27" t="s">
        <v>22</v>
      </c>
      <c r="G4" s="327" t="s">
        <v>22</v>
      </c>
      <c r="H4" s="36" t="s">
        <v>21</v>
      </c>
      <c r="I4" s="273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45909</v>
      </c>
      <c r="C6" s="104" t="s">
        <v>102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61" t="s">
        <v>44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28" t="s">
        <v>22</v>
      </c>
      <c r="G9" s="328" t="s">
        <v>22</v>
      </c>
      <c r="H9" s="154" t="s">
        <v>21</v>
      </c>
      <c r="I9" s="129"/>
      <c r="J9" s="42"/>
      <c r="K9" s="43"/>
      <c r="L9" s="274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4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27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27" t="s">
        <v>22</v>
      </c>
      <c r="G12" s="327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104" t="s">
        <v>102</v>
      </c>
      <c r="J14" s="327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45918</v>
      </c>
      <c r="C15" s="104" t="s">
        <v>23</v>
      </c>
      <c r="D15" s="33" t="s">
        <v>38</v>
      </c>
      <c r="E15" s="327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1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3" t="s">
        <v>28</v>
      </c>
      <c r="I18" s="119" t="s">
        <v>23</v>
      </c>
      <c r="J18" s="104" t="s">
        <v>48</v>
      </c>
      <c r="K18" s="275"/>
      <c r="L18" s="250" t="s">
        <v>97</v>
      </c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45922</v>
      </c>
      <c r="C19" s="33" t="s">
        <v>36</v>
      </c>
      <c r="D19" s="33" t="s">
        <v>36</v>
      </c>
      <c r="E19" s="327" t="s">
        <v>22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 t="s">
        <v>97</v>
      </c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 t="s">
        <v>196</v>
      </c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45924</v>
      </c>
      <c r="C21" s="104" t="s">
        <v>48</v>
      </c>
      <c r="D21" s="104" t="s">
        <v>48</v>
      </c>
      <c r="E21" s="104" t="s">
        <v>28</v>
      </c>
      <c r="F21" s="33" t="s">
        <v>34</v>
      </c>
      <c r="G21" s="33" t="s">
        <v>38</v>
      </c>
      <c r="H21" s="347" t="s">
        <v>20</v>
      </c>
      <c r="I21" s="32"/>
      <c r="J21" s="275"/>
      <c r="K21" s="275"/>
      <c r="L21" s="250" t="s">
        <v>40</v>
      </c>
      <c r="M21" s="30" t="s">
        <v>45</v>
      </c>
      <c r="N21" s="30" t="s">
        <v>195</v>
      </c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45925</v>
      </c>
      <c r="C22" s="327" t="s">
        <v>22</v>
      </c>
      <c r="D22" s="327" t="s">
        <v>22</v>
      </c>
      <c r="E22" s="33" t="s">
        <v>31</v>
      </c>
      <c r="F22" s="344" t="s">
        <v>102</v>
      </c>
      <c r="G22" s="33" t="s">
        <v>36</v>
      </c>
      <c r="H22" s="104" t="s">
        <v>168</v>
      </c>
      <c r="I22" s="32"/>
      <c r="J22" s="344" t="s">
        <v>44</v>
      </c>
      <c r="K22" s="36"/>
      <c r="L22" s="250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49" t="s">
        <v>197</v>
      </c>
      <c r="G23" s="104" t="s">
        <v>44</v>
      </c>
      <c r="H23" s="39" t="s">
        <v>34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51" t="s">
        <v>32</v>
      </c>
      <c r="I24" s="273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6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23" t="s">
        <v>34</v>
      </c>
      <c r="G26" s="33" t="s">
        <v>36</v>
      </c>
      <c r="H26" s="104" t="s">
        <v>168</v>
      </c>
      <c r="I26" s="32"/>
      <c r="J26" s="332"/>
      <c r="K26" s="36"/>
      <c r="L26" s="276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104" t="s">
        <v>44</v>
      </c>
      <c r="G27" s="344" t="s">
        <v>102</v>
      </c>
      <c r="H27" s="104" t="s">
        <v>168</v>
      </c>
      <c r="I27" s="27"/>
      <c r="J27" s="360"/>
      <c r="K27" s="64"/>
      <c r="L27" s="276" t="s">
        <v>198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44</v>
      </c>
      <c r="F28" s="345" t="s">
        <v>20</v>
      </c>
      <c r="G28" s="104" t="s">
        <v>29</v>
      </c>
      <c r="H28" s="32" t="s">
        <v>28</v>
      </c>
      <c r="I28" s="33"/>
      <c r="J28" s="104" t="s">
        <v>29</v>
      </c>
      <c r="K28" s="33"/>
      <c r="L28" s="276" t="s">
        <v>198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45932</v>
      </c>
      <c r="C29" s="33" t="s">
        <v>38</v>
      </c>
      <c r="D29" s="33" t="s">
        <v>38</v>
      </c>
      <c r="E29" s="104" t="s">
        <v>168</v>
      </c>
      <c r="F29" s="36" t="s">
        <v>42</v>
      </c>
      <c r="G29" s="36" t="s">
        <v>42</v>
      </c>
      <c r="H29" s="104" t="s">
        <v>23</v>
      </c>
      <c r="I29" s="32"/>
      <c r="J29" s="33" t="s">
        <v>20</v>
      </c>
      <c r="K29" s="33"/>
      <c r="L29" s="276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45933</v>
      </c>
      <c r="C30" s="54" t="s">
        <v>36</v>
      </c>
      <c r="D30" s="54" t="s">
        <v>36</v>
      </c>
      <c r="E30" s="54" t="s">
        <v>20</v>
      </c>
      <c r="F30" s="104" t="s">
        <v>29</v>
      </c>
      <c r="G30" s="104" t="s">
        <v>29</v>
      </c>
      <c r="H30" s="54" t="s">
        <v>37</v>
      </c>
      <c r="I30" s="104" t="s">
        <v>168</v>
      </c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H32" s="277"/>
      <c r="N32" s="57"/>
      <c r="O32" s="31"/>
      <c r="P32" s="31"/>
      <c r="Q32" s="3"/>
      <c r="R32" s="3"/>
      <c r="S32" s="3"/>
      <c r="T32" s="3"/>
      <c r="U32" s="3"/>
    </row>
    <row r="33" spans="1:21" ht="12" customHeight="1" x14ac:dyDescent="0.15">
      <c r="A33" s="368" t="s">
        <v>53</v>
      </c>
      <c r="B33" s="368"/>
      <c r="C33" s="368"/>
      <c r="D33" s="368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9" t="s">
        <v>57</v>
      </c>
      <c r="M35" s="369"/>
      <c r="N35" s="78"/>
      <c r="P35" s="3"/>
      <c r="Q35" s="3"/>
      <c r="R35" s="3"/>
      <c r="S35" s="3"/>
    </row>
    <row r="36" spans="1:21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64</v>
      </c>
      <c r="J36" s="362" t="s">
        <v>65</v>
      </c>
      <c r="K36" s="362" t="s">
        <v>66</v>
      </c>
      <c r="L36" s="270" t="s">
        <v>67</v>
      </c>
      <c r="M36" s="270" t="s">
        <v>68</v>
      </c>
    </row>
    <row r="37" spans="1:21" ht="12.75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3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100</v>
      </c>
      <c r="M38" s="238">
        <f t="shared" si="2"/>
        <v>22</v>
      </c>
    </row>
    <row r="39" spans="1:21" ht="12" customHeight="1" x14ac:dyDescent="0.15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4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88</v>
      </c>
      <c r="M39" s="238">
        <f t="shared" si="2"/>
        <v>10</v>
      </c>
    </row>
    <row r="40" spans="1:21" ht="12" customHeight="1" x14ac:dyDescent="0.15">
      <c r="A40" s="73"/>
      <c r="B40" s="73"/>
      <c r="C40" s="82" t="s">
        <v>31</v>
      </c>
      <c r="D40" s="278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132</v>
      </c>
      <c r="M40" s="238">
        <f t="shared" si="2"/>
        <v>30.599999999999994</v>
      </c>
    </row>
    <row r="41" spans="1:21" ht="12" customHeight="1" x14ac:dyDescent="0.15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1</v>
      </c>
      <c r="G41" s="84">
        <f>COUNTIF($E$4:$E$31,"KANTCHE")</f>
        <v>4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112</v>
      </c>
      <c r="M41" s="238">
        <f t="shared" si="2"/>
        <v>18.400000000000006</v>
      </c>
      <c r="N41" s="3"/>
    </row>
    <row r="42" spans="1:21" ht="12" customHeight="1" x14ac:dyDescent="0.15">
      <c r="A42" s="3"/>
      <c r="B42" s="3"/>
      <c r="C42" s="86" t="s">
        <v>42</v>
      </c>
      <c r="D42" s="279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 x14ac:dyDescent="0.15">
      <c r="A43" s="3"/>
      <c r="B43" s="3"/>
      <c r="C43" s="86" t="s">
        <v>47</v>
      </c>
      <c r="D43" s="27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 x14ac:dyDescent="0.15">
      <c r="A44" s="3"/>
      <c r="B44" s="3"/>
      <c r="C44" s="86" t="s">
        <v>20</v>
      </c>
      <c r="D44" s="279">
        <v>1</v>
      </c>
      <c r="E44" s="84">
        <f>COUNTIF($C$4:$C$31,"TORREGROSSA")+COUNTIF($H$4:$H$31,"TORREGROSSA")+COUNTIF($F$4:$F$31,"TORREGROSSA")+COUNTIF($J$4:$J$31,"TORREGROSSA")</f>
        <v>6</v>
      </c>
      <c r="F44" s="84">
        <f>COUNTIF($D$4:$D$31,"TORREGROSSA")+COUNTIF($G$4:$G$31,"TORREGROSSA")</f>
        <v>2</v>
      </c>
      <c r="G44" s="84">
        <f>COUNTIF($E$4:$E$31,"TORREGROSSA")</f>
        <v>1</v>
      </c>
      <c r="H44" s="84">
        <f>COUNTIF($K$4:$K$31,"TORREGROSSA")</f>
        <v>0</v>
      </c>
      <c r="I44" s="86">
        <v>8</v>
      </c>
      <c r="J44" s="85">
        <f t="shared" si="0"/>
        <v>21.6</v>
      </c>
      <c r="K44" s="86">
        <f t="shared" si="1"/>
        <v>93.6</v>
      </c>
      <c r="L44" s="86">
        <f>E44*10+F44*14+G44*12+H44*10</f>
        <v>100</v>
      </c>
      <c r="M44" s="238">
        <f t="shared" si="2"/>
        <v>6.4000000000000057</v>
      </c>
      <c r="N44" s="3"/>
    </row>
    <row r="45" spans="1:21" ht="12.75" customHeight="1" x14ac:dyDescent="0.15">
      <c r="A45" s="3"/>
      <c r="B45" s="3"/>
      <c r="C45" s="86" t="s">
        <v>19</v>
      </c>
      <c r="D45" s="279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 x14ac:dyDescent="0.15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 x14ac:dyDescent="0.15">
      <c r="A47" s="3"/>
      <c r="B47" s="3"/>
      <c r="C47" s="86" t="s">
        <v>27</v>
      </c>
      <c r="D47" s="279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 x14ac:dyDescent="0.15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6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88</v>
      </c>
      <c r="M48" s="238">
        <f t="shared" si="2"/>
        <v>10</v>
      </c>
    </row>
    <row r="49" spans="1:21" ht="12" customHeight="1" x14ac:dyDescent="0.15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COUNTIF($C$4:$C$31,"HACHIMI")+COUNTIF($I$4:$I$31,"HACHIMI")+COUNTIF($H$4:$H$31,"HACHIMI")+COUNTIF($F$4:$F$31,"HACHIMI")+D58+COUNTIF($J$4:$J$31,"HACHIMI")</f>
        <v>6</v>
      </c>
      <c r="F49" s="84">
        <f>COUNTIF($D$4:$D$31,"HACHIMI")+COUNTIF($I$4:$I$31,"HACHIMI")+COUNTIF($G$4:$G$31,"HACHIMI")</f>
        <v>5</v>
      </c>
      <c r="G49" s="84">
        <f>COUNTIF($E$4:$E$31,"HACHIMI")</f>
        <v>2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154</v>
      </c>
      <c r="M49" s="238">
        <f t="shared" si="2"/>
        <v>37</v>
      </c>
    </row>
    <row r="50" spans="1:21" ht="12" customHeight="1" x14ac:dyDescent="0.15">
      <c r="A50" s="3"/>
      <c r="B50" s="72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 x14ac:dyDescent="0.15">
      <c r="A51" s="3"/>
      <c r="B51" s="96"/>
      <c r="C51" s="86" t="s">
        <v>48</v>
      </c>
      <c r="D51" s="279">
        <v>1</v>
      </c>
      <c r="E51" s="84">
        <f>COUNTIF($C$4:$C$31,"AFZAL")+COUNTIF($I$4:$I$31,"AFZAL")+COUNTIF($H$4:$H$31,"AFZAL")+COUNTIF($F$4:$F$31,"AFZAL")+COUNTIF($J$4:$J$31,"AFZAL")+D60</f>
        <v>9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158</v>
      </c>
      <c r="M51" s="238">
        <f t="shared" si="2"/>
        <v>2</v>
      </c>
      <c r="N51" s="57"/>
    </row>
    <row r="52" spans="1:21" ht="12" customHeight="1" x14ac:dyDescent="0.15">
      <c r="A52" s="3"/>
      <c r="B52" s="96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5</v>
      </c>
      <c r="G52" s="84">
        <f>COUNTIF($E$4:$E$31,"IBRAHIM")</f>
        <v>2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174</v>
      </c>
      <c r="M52" s="238">
        <f t="shared" si="2"/>
        <v>18</v>
      </c>
      <c r="N52" s="57"/>
    </row>
    <row r="53" spans="1:21" ht="12" customHeight="1" x14ac:dyDescent="0.15">
      <c r="A53" s="3"/>
      <c r="B53" s="96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8</v>
      </c>
      <c r="F53" s="84">
        <f>COUNTIF($D$4:$D$31,"IMAD")+COUNTIF($I$4:$I$31,"IMAD")+COUNTIF($G$4:$G$31,"IMAD")</f>
        <v>4</v>
      </c>
      <c r="G53" s="84">
        <f>COUNTIF($E$4:$E$31,"IMAD")</f>
        <v>2</v>
      </c>
      <c r="H53" s="84"/>
      <c r="I53" s="86">
        <v>3</v>
      </c>
      <c r="J53" s="85">
        <f t="shared" si="0"/>
        <v>30.6</v>
      </c>
      <c r="K53" s="86">
        <f t="shared" si="1"/>
        <v>132.6</v>
      </c>
      <c r="L53" s="86">
        <f t="shared" si="3"/>
        <v>160</v>
      </c>
      <c r="M53" s="238">
        <f t="shared" si="2"/>
        <v>27.400000000000006</v>
      </c>
      <c r="N53" s="57"/>
    </row>
    <row r="54" spans="1:21" ht="12" customHeight="1" x14ac:dyDescent="0.15">
      <c r="A54" s="3"/>
      <c r="B54" s="96"/>
      <c r="C54" s="86" t="s">
        <v>32</v>
      </c>
      <c r="D54" s="279">
        <v>1</v>
      </c>
      <c r="E54" s="280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>
        <v>4</v>
      </c>
      <c r="J54" s="85">
        <f t="shared" si="0"/>
        <v>28.8</v>
      </c>
      <c r="K54" s="86">
        <f t="shared" si="1"/>
        <v>124.8</v>
      </c>
      <c r="L54" s="86">
        <f t="shared" si="3"/>
        <v>168</v>
      </c>
      <c r="M54" s="238">
        <f t="shared" si="2"/>
        <v>43.2</v>
      </c>
      <c r="N54" s="57"/>
    </row>
    <row r="55" spans="1:21" ht="12" customHeight="1" x14ac:dyDescent="0.15">
      <c r="A55" s="3"/>
      <c r="B55" s="96"/>
      <c r="C55" s="86" t="s">
        <v>102</v>
      </c>
      <c r="D55" s="279">
        <v>1</v>
      </c>
      <c r="E55" s="280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6</v>
      </c>
      <c r="G55" s="84">
        <f>COUNTIF($E$4:$E$31,"TODY")</f>
        <v>1</v>
      </c>
      <c r="H55" s="84"/>
      <c r="I55" s="86">
        <v>3</v>
      </c>
      <c r="J55" s="85">
        <f t="shared" si="0"/>
        <v>30.6</v>
      </c>
      <c r="K55" s="86">
        <f t="shared" si="1"/>
        <v>132.6</v>
      </c>
      <c r="L55" s="86">
        <f t="shared" si="3"/>
        <v>206</v>
      </c>
      <c r="M55" s="238">
        <f t="shared" si="2"/>
        <v>73.400000000000006</v>
      </c>
      <c r="N55" s="57"/>
    </row>
    <row r="56" spans="1:21" ht="12" customHeight="1" x14ac:dyDescent="0.15">
      <c r="A56" s="3"/>
      <c r="B56" s="96"/>
      <c r="C56" s="86" t="s">
        <v>168</v>
      </c>
      <c r="D56" s="279">
        <v>1</v>
      </c>
      <c r="E56" s="280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4</v>
      </c>
      <c r="G56" s="84">
        <f>COUNTIF($E$4:$E$31,"RODRIGUE")</f>
        <v>2</v>
      </c>
      <c r="H56" s="84"/>
      <c r="I56" s="86">
        <v>3</v>
      </c>
      <c r="J56" s="85">
        <f t="shared" si="0"/>
        <v>30.6</v>
      </c>
      <c r="K56" s="86">
        <f t="shared" si="1"/>
        <v>132.6</v>
      </c>
      <c r="L56" s="86">
        <f t="shared" si="3"/>
        <v>220</v>
      </c>
      <c r="M56" s="238">
        <f t="shared" si="2"/>
        <v>87.4</v>
      </c>
      <c r="N56" s="57"/>
    </row>
    <row r="57" spans="1:21" ht="12" customHeight="1" x14ac:dyDescent="0.15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 x14ac:dyDescent="0.15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 x14ac:dyDescent="0.15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 x14ac:dyDescent="0.15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 x14ac:dyDescent="0.15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 x14ac:dyDescent="0.15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 x14ac:dyDescent="0.15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1"/>
      <c r="C64" s="86" t="s">
        <v>102</v>
      </c>
      <c r="D64" s="102">
        <v>4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 x14ac:dyDescent="0.15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 x14ac:dyDescent="0.15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 x14ac:dyDescent="0.15">
      <c r="P835" s="3"/>
      <c r="Q835" s="3"/>
      <c r="R835" s="3"/>
      <c r="S835" s="3"/>
      <c r="T835" s="3"/>
      <c r="U835" s="3"/>
    </row>
    <row r="836" spans="11:21" ht="12" customHeight="1" x14ac:dyDescent="0.15">
      <c r="P836" s="3"/>
      <c r="Q836" s="3"/>
      <c r="R836" s="3"/>
      <c r="S836" s="3"/>
      <c r="T836" s="3"/>
      <c r="U836" s="3"/>
    </row>
    <row r="837" spans="11:21" ht="12" customHeight="1" x14ac:dyDescent="0.15">
      <c r="P837" s="3"/>
      <c r="Q837" s="3"/>
      <c r="R837" s="3"/>
      <c r="S837" s="3"/>
      <c r="T837" s="3"/>
      <c r="U837" s="3"/>
    </row>
    <row r="838" spans="11:21" ht="12" customHeight="1" x14ac:dyDescent="0.15">
      <c r="P838" s="3"/>
      <c r="Q838" s="3"/>
      <c r="R838" s="3"/>
      <c r="S838" s="3"/>
      <c r="T838" s="3"/>
      <c r="U838" s="3"/>
    </row>
    <row r="839" spans="11:21" ht="12" customHeight="1" x14ac:dyDescent="0.15">
      <c r="P839" s="3"/>
      <c r="Q839" s="3"/>
      <c r="R839" s="3"/>
      <c r="S839" s="3"/>
      <c r="T839" s="3"/>
      <c r="U839" s="3"/>
    </row>
    <row r="840" spans="11:21" ht="12" customHeight="1" x14ac:dyDescent="0.15">
      <c r="P840" s="3"/>
      <c r="Q840" s="3"/>
      <c r="R840" s="3"/>
      <c r="S840" s="3"/>
      <c r="T840" s="3"/>
      <c r="U840" s="3"/>
    </row>
    <row r="841" spans="11:21" ht="12" customHeight="1" x14ac:dyDescent="0.15">
      <c r="P841" s="3"/>
      <c r="Q841" s="3"/>
      <c r="R841" s="3"/>
      <c r="S841" s="3"/>
      <c r="T841" s="3"/>
      <c r="U841" s="3"/>
    </row>
    <row r="842" spans="11:21" ht="12" customHeight="1" x14ac:dyDescent="0.15">
      <c r="P842" s="3"/>
      <c r="Q842" s="3"/>
      <c r="R842" s="3"/>
      <c r="S842" s="3"/>
      <c r="T842" s="3"/>
      <c r="U842" s="3"/>
    </row>
    <row r="843" spans="11:21" ht="12" customHeight="1" x14ac:dyDescent="0.15">
      <c r="P843" s="3"/>
      <c r="Q843" s="3"/>
      <c r="R843" s="3"/>
      <c r="S843" s="3"/>
      <c r="T843" s="3"/>
      <c r="U843" s="3"/>
    </row>
    <row r="844" spans="11:21" ht="12" customHeight="1" x14ac:dyDescent="0.15">
      <c r="P844" s="3"/>
      <c r="Q844" s="3"/>
      <c r="R844" s="3"/>
      <c r="S844" s="3"/>
      <c r="T844" s="3"/>
      <c r="U844" s="3"/>
    </row>
    <row r="845" spans="11:21" ht="12" customHeight="1" x14ac:dyDescent="0.15">
      <c r="P845" s="3"/>
      <c r="Q845" s="3"/>
      <c r="R845" s="3"/>
      <c r="S845" s="3"/>
      <c r="T845" s="3"/>
      <c r="U845" s="3"/>
    </row>
    <row r="846" spans="11:21" ht="12" customHeight="1" x14ac:dyDescent="0.15">
      <c r="P846" s="3"/>
      <c r="Q846" s="3"/>
      <c r="R846" s="3"/>
      <c r="S846" s="3"/>
      <c r="T846" s="3"/>
      <c r="U846" s="3"/>
    </row>
    <row r="847" spans="11:21" ht="12" customHeight="1" x14ac:dyDescent="0.15">
      <c r="P847" s="3"/>
      <c r="Q847" s="3"/>
      <c r="R847" s="3"/>
      <c r="S847" s="3"/>
      <c r="T847" s="3"/>
      <c r="U847" s="3"/>
    </row>
    <row r="848" spans="11:21" ht="12" customHeight="1" x14ac:dyDescent="0.15">
      <c r="P848" s="3"/>
      <c r="Q848" s="3"/>
      <c r="R848" s="3"/>
      <c r="S848" s="3"/>
      <c r="T848" s="3"/>
      <c r="U848" s="3"/>
    </row>
    <row r="849" spans="16:21" ht="12" customHeight="1" x14ac:dyDescent="0.15">
      <c r="P849" s="3"/>
      <c r="Q849" s="3"/>
      <c r="R849" s="3"/>
      <c r="S849" s="3"/>
      <c r="T849" s="3"/>
      <c r="U849" s="3"/>
    </row>
    <row r="850" spans="16:21" ht="12" customHeight="1" x14ac:dyDescent="0.15">
      <c r="P850" s="3"/>
      <c r="Q850" s="3"/>
      <c r="R850" s="3"/>
      <c r="S850" s="3"/>
      <c r="T850" s="3"/>
      <c r="U850" s="3"/>
    </row>
    <row r="851" spans="16:21" ht="12" customHeight="1" x14ac:dyDescent="0.15">
      <c r="P851" s="3"/>
      <c r="Q851" s="3"/>
      <c r="R851" s="3"/>
      <c r="S851" s="3"/>
      <c r="T851" s="3"/>
      <c r="U851" s="3"/>
    </row>
    <row r="852" spans="16:21" ht="12" customHeight="1" x14ac:dyDescent="0.15">
      <c r="P852" s="3"/>
      <c r="Q852" s="3"/>
      <c r="R852" s="3"/>
      <c r="S852" s="3"/>
      <c r="T852" s="3"/>
      <c r="U852" s="3"/>
    </row>
    <row r="853" spans="16:21" ht="12" customHeight="1" x14ac:dyDescent="0.15">
      <c r="P853" s="3"/>
      <c r="Q853" s="3"/>
      <c r="R853" s="3"/>
      <c r="S853" s="3"/>
      <c r="T853" s="3"/>
      <c r="U853" s="3"/>
    </row>
    <row r="854" spans="16:21" ht="12" customHeight="1" x14ac:dyDescent="0.15">
      <c r="P854" s="3"/>
      <c r="Q854" s="3"/>
      <c r="R854" s="3"/>
      <c r="S854" s="3"/>
      <c r="T854" s="3"/>
      <c r="U854" s="3"/>
    </row>
    <row r="855" spans="16:21" ht="12" customHeight="1" x14ac:dyDescent="0.15">
      <c r="P855" s="3"/>
      <c r="Q855" s="3"/>
      <c r="R855" s="3"/>
      <c r="S855" s="3"/>
      <c r="T855" s="3"/>
      <c r="U855" s="3"/>
    </row>
    <row r="856" spans="16:21" ht="12" customHeight="1" x14ac:dyDescent="0.15">
      <c r="P856" s="3"/>
      <c r="Q856" s="3"/>
      <c r="R856" s="3"/>
      <c r="S856" s="3"/>
      <c r="T856" s="3"/>
      <c r="U856" s="3"/>
    </row>
    <row r="857" spans="16:21" ht="12" customHeight="1" x14ac:dyDescent="0.15">
      <c r="P857" s="3"/>
      <c r="Q857" s="3"/>
      <c r="R857" s="3"/>
      <c r="S857" s="3"/>
      <c r="T857" s="3"/>
      <c r="U857" s="3"/>
    </row>
    <row r="858" spans="16:21" ht="12" customHeight="1" x14ac:dyDescent="0.15">
      <c r="P858" s="3"/>
      <c r="Q858" s="3"/>
      <c r="R858" s="3"/>
      <c r="S858" s="3"/>
      <c r="T858" s="3"/>
      <c r="U858" s="3"/>
    </row>
    <row r="859" spans="16:21" ht="12" customHeight="1" x14ac:dyDescent="0.15">
      <c r="P859" s="3"/>
      <c r="Q859" s="3"/>
      <c r="R859" s="3"/>
      <c r="S859" s="3"/>
      <c r="T859" s="3"/>
      <c r="U859" s="3"/>
    </row>
    <row r="860" spans="16:21" ht="12" customHeight="1" x14ac:dyDescent="0.15">
      <c r="P860" s="3"/>
      <c r="Q860" s="3"/>
      <c r="R860" s="3"/>
      <c r="S860" s="3"/>
      <c r="T860" s="3"/>
      <c r="U860" s="3"/>
    </row>
    <row r="861" spans="16:21" ht="12" customHeight="1" x14ac:dyDescent="0.15">
      <c r="P861" s="3"/>
      <c r="Q861" s="3"/>
      <c r="R861" s="3"/>
      <c r="S861" s="3"/>
      <c r="T861" s="3"/>
      <c r="U861" s="3"/>
    </row>
    <row r="862" spans="16:21" ht="12" customHeight="1" x14ac:dyDescent="0.15">
      <c r="P862" s="3"/>
      <c r="Q862" s="3"/>
      <c r="R862" s="3"/>
      <c r="S862" s="3"/>
      <c r="T862" s="3"/>
      <c r="U862" s="3"/>
    </row>
    <row r="863" spans="16:21" ht="12" customHeight="1" x14ac:dyDescent="0.15">
      <c r="P863" s="3"/>
      <c r="Q863" s="3"/>
      <c r="R863" s="3"/>
      <c r="S863" s="3"/>
      <c r="T863" s="3"/>
      <c r="U863" s="3"/>
    </row>
    <row r="864" spans="16:21" ht="12" customHeight="1" x14ac:dyDescent="0.15">
      <c r="P864" s="3"/>
      <c r="Q864" s="3"/>
      <c r="R864" s="3"/>
      <c r="S864" s="3"/>
      <c r="T864" s="3"/>
      <c r="U864" s="3"/>
    </row>
    <row r="865" spans="16:21" ht="12" customHeight="1" x14ac:dyDescent="0.15">
      <c r="P865" s="3"/>
      <c r="Q865" s="3"/>
      <c r="R865" s="3"/>
      <c r="S865" s="3"/>
      <c r="T865" s="3"/>
      <c r="U865" s="3"/>
    </row>
    <row r="866" spans="16:21" ht="12" customHeight="1" x14ac:dyDescent="0.15">
      <c r="P866" s="3"/>
      <c r="Q866" s="3"/>
      <c r="R866" s="3"/>
      <c r="S866" s="3"/>
      <c r="T866" s="3"/>
      <c r="U866" s="3"/>
    </row>
    <row r="867" spans="16:21" ht="12" customHeight="1" x14ac:dyDescent="0.15">
      <c r="P867" s="3"/>
      <c r="Q867" s="3"/>
      <c r="R867" s="3"/>
      <c r="S867" s="3"/>
      <c r="T867" s="3"/>
      <c r="U867" s="3"/>
    </row>
    <row r="868" spans="16:21" ht="12" customHeight="1" x14ac:dyDescent="0.15">
      <c r="P868" s="3"/>
      <c r="Q868" s="3"/>
      <c r="R868" s="3"/>
      <c r="S868" s="3"/>
      <c r="T868" s="3"/>
      <c r="U868" s="3"/>
    </row>
    <row r="869" spans="16:21" ht="12" customHeight="1" x14ac:dyDescent="0.15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H24:J25 C12:H13 C14:C19 E14:H15 K15:L15 D16:L16 D17:E19 I22:J23 J17:L17 F18:G18 I18:K21 G19:G20 E20:F20 C21:E21 C22:D22 F22:G25 E7:H7 E28:H29 H17:H22 C25:D28 K22:K26 E26:J27 J28:K28 I29:K29 J5:L7 D30:K30 I14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zoomScale="112" zoomScaleNormal="112" workbookViewId="0">
      <selection activeCell="I40" sqref="I40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6.515625" style="1" customWidth="1"/>
    <col min="9" max="9" width="14.03515625" style="2" customWidth="1"/>
    <col min="10" max="10" width="14.03515625" style="1" customWidth="1"/>
    <col min="11" max="11" width="12.85546875" style="1" customWidth="1"/>
    <col min="12" max="12" width="13.328125" style="1" customWidth="1"/>
    <col min="13" max="13" width="9.31640625" style="1" customWidth="1"/>
    <col min="14" max="14" width="22.8828125" style="1" customWidth="1"/>
    <col min="15" max="15" width="6.6054687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4" ht="14.25" customHeight="1" x14ac:dyDescent="0.15">
      <c r="A1" s="365" t="s">
        <v>199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4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6"/>
      <c r="J2" s="368" t="s">
        <v>4</v>
      </c>
      <c r="K2" s="368"/>
      <c r="L2" s="368"/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202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 x14ac:dyDescent="0.15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48</v>
      </c>
      <c r="G4" s="51" t="s">
        <v>48</v>
      </c>
      <c r="H4" s="36" t="s">
        <v>21</v>
      </c>
      <c r="I4" s="119" t="s">
        <v>44</v>
      </c>
      <c r="J4" s="190" t="s">
        <v>31</v>
      </c>
      <c r="K4" s="28"/>
      <c r="L4" s="172" t="s">
        <v>203</v>
      </c>
      <c r="M4" s="30"/>
      <c r="N4" s="28" t="s">
        <v>204</v>
      </c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 x14ac:dyDescent="0.15">
      <c r="A5" s="21" t="s">
        <v>26</v>
      </c>
      <c r="B5" s="22">
        <v>45936</v>
      </c>
      <c r="C5" s="281" t="s">
        <v>34</v>
      </c>
      <c r="D5" s="281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1" t="s">
        <v>29</v>
      </c>
      <c r="K5" s="32"/>
      <c r="L5" s="172" t="s">
        <v>203</v>
      </c>
      <c r="M5" s="34"/>
      <c r="N5" s="28" t="s">
        <v>204</v>
      </c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 x14ac:dyDescent="0.15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205</v>
      </c>
      <c r="M6" s="172"/>
      <c r="N6" s="49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 x14ac:dyDescent="0.15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 t="s">
        <v>20</v>
      </c>
      <c r="L7" s="172" t="s">
        <v>205</v>
      </c>
      <c r="M7" s="172"/>
      <c r="N7" s="49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 x14ac:dyDescent="0.15">
      <c r="A8" s="21" t="s">
        <v>35</v>
      </c>
      <c r="B8" s="22">
        <v>45939</v>
      </c>
      <c r="C8" s="281" t="s">
        <v>36</v>
      </c>
      <c r="D8" s="281" t="s">
        <v>36</v>
      </c>
      <c r="E8" s="48" t="s">
        <v>47</v>
      </c>
      <c r="F8" s="51" t="s">
        <v>22</v>
      </c>
      <c r="G8" s="190" t="s">
        <v>31</v>
      </c>
      <c r="H8" s="36" t="s">
        <v>21</v>
      </c>
      <c r="I8" s="346" t="s">
        <v>102</v>
      </c>
      <c r="J8" s="51" t="s">
        <v>29</v>
      </c>
      <c r="K8" s="52" t="s">
        <v>20</v>
      </c>
      <c r="L8" s="172" t="s">
        <v>205</v>
      </c>
      <c r="M8" s="34"/>
      <c r="N8" s="49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 x14ac:dyDescent="0.15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5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 x14ac:dyDescent="0.15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5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 x14ac:dyDescent="0.15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51" t="s">
        <v>22</v>
      </c>
      <c r="H11" s="51" t="s">
        <v>22</v>
      </c>
      <c r="I11" s="119" t="s">
        <v>102</v>
      </c>
      <c r="J11" s="33"/>
      <c r="K11" s="28"/>
      <c r="L11" s="172" t="s">
        <v>206</v>
      </c>
      <c r="M11" s="36" t="s">
        <v>45</v>
      </c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 x14ac:dyDescent="0.15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206</v>
      </c>
      <c r="M12" s="36" t="s">
        <v>45</v>
      </c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 x14ac:dyDescent="0.15">
      <c r="A13" s="21" t="s">
        <v>30</v>
      </c>
      <c r="B13" s="22">
        <v>45944</v>
      </c>
      <c r="C13" s="52" t="s">
        <v>27</v>
      </c>
      <c r="D13" s="52" t="s">
        <v>27</v>
      </c>
      <c r="E13" s="51" t="s">
        <v>22</v>
      </c>
      <c r="F13" s="32" t="s">
        <v>37</v>
      </c>
      <c r="G13" s="281" t="s">
        <v>36</v>
      </c>
      <c r="H13" s="51" t="s">
        <v>44</v>
      </c>
      <c r="I13" s="32"/>
      <c r="J13" s="52"/>
      <c r="K13" s="32"/>
      <c r="L13" s="172" t="s">
        <v>206</v>
      </c>
      <c r="M13" s="36" t="s">
        <v>45</v>
      </c>
      <c r="N13" s="181"/>
      <c r="O13" s="314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 x14ac:dyDescent="0.15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206</v>
      </c>
      <c r="M14" s="36" t="s">
        <v>45</v>
      </c>
      <c r="N14" s="181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 x14ac:dyDescent="0.15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51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206</v>
      </c>
      <c r="M15" s="36" t="s">
        <v>45</v>
      </c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 x14ac:dyDescent="0.15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51" t="s">
        <v>22</v>
      </c>
      <c r="I16" s="129"/>
      <c r="J16" s="42"/>
      <c r="K16" s="43"/>
      <c r="L16" s="44"/>
      <c r="M16" s="154" t="s">
        <v>45</v>
      </c>
      <c r="N16" s="55"/>
      <c r="O16" s="316"/>
      <c r="P16" s="111" t="s">
        <v>76</v>
      </c>
      <c r="Q16" s="109" t="s">
        <v>76</v>
      </c>
      <c r="R16" s="3"/>
      <c r="S16" s="3"/>
      <c r="T16" s="3"/>
    </row>
    <row r="17" spans="1:24" ht="12.75" customHeight="1" x14ac:dyDescent="0.15">
      <c r="A17" s="37" t="s">
        <v>43</v>
      </c>
      <c r="B17" s="38">
        <v>45948</v>
      </c>
      <c r="C17" s="282" t="s">
        <v>38</v>
      </c>
      <c r="D17" s="282" t="s">
        <v>38</v>
      </c>
      <c r="E17" s="177" t="s">
        <v>46</v>
      </c>
      <c r="F17" s="39" t="s">
        <v>27</v>
      </c>
      <c r="G17" s="39" t="s">
        <v>27</v>
      </c>
      <c r="H17" s="350" t="s">
        <v>197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 x14ac:dyDescent="0.15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51" t="s">
        <v>22</v>
      </c>
      <c r="K18" s="32"/>
      <c r="L18" s="30" t="s">
        <v>156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 x14ac:dyDescent="0.15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51" t="s">
        <v>22</v>
      </c>
      <c r="K19" s="32"/>
      <c r="L19" s="30" t="s">
        <v>156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 x14ac:dyDescent="0.15">
      <c r="A20" s="21" t="s">
        <v>30</v>
      </c>
      <c r="B20" s="22">
        <v>45951</v>
      </c>
      <c r="C20" s="33" t="s">
        <v>38</v>
      </c>
      <c r="D20" s="33" t="s">
        <v>38</v>
      </c>
      <c r="E20" s="334"/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156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 x14ac:dyDescent="0.15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1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 x14ac:dyDescent="0.15">
      <c r="A22" s="21" t="s">
        <v>35</v>
      </c>
      <c r="B22" s="22">
        <v>45953</v>
      </c>
      <c r="C22" s="51" t="s">
        <v>32</v>
      </c>
      <c r="D22" s="281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207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 x14ac:dyDescent="0.15">
      <c r="A23" s="37" t="s">
        <v>41</v>
      </c>
      <c r="B23" s="38">
        <v>45954</v>
      </c>
      <c r="C23" s="51" t="s">
        <v>102</v>
      </c>
      <c r="D23" s="39" t="s">
        <v>42</v>
      </c>
      <c r="E23" s="51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 x14ac:dyDescent="0.15">
      <c r="A24" s="37" t="s">
        <v>43</v>
      </c>
      <c r="B24" s="38">
        <v>45955</v>
      </c>
      <c r="C24" s="229" t="s">
        <v>31</v>
      </c>
      <c r="D24" s="229" t="s">
        <v>31</v>
      </c>
      <c r="E24" s="51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 x14ac:dyDescent="0.15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208</v>
      </c>
      <c r="M25" s="30"/>
      <c r="N25" s="275" t="s">
        <v>209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 x14ac:dyDescent="0.15">
      <c r="A26" s="283" t="s">
        <v>26</v>
      </c>
      <c r="B26" s="22">
        <v>45957</v>
      </c>
      <c r="C26" s="281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51" t="s">
        <v>22</v>
      </c>
      <c r="I26" s="63"/>
      <c r="J26" s="348" t="s">
        <v>20</v>
      </c>
      <c r="K26" s="32"/>
      <c r="L26" s="30" t="s">
        <v>208</v>
      </c>
      <c r="M26" s="30"/>
      <c r="N26" s="275" t="s">
        <v>209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 x14ac:dyDescent="0.15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51" t="s">
        <v>22</v>
      </c>
      <c r="G27" s="51" t="s">
        <v>22</v>
      </c>
      <c r="H27" s="51" t="s">
        <v>23</v>
      </c>
      <c r="I27" s="32"/>
      <c r="J27" s="52" t="s">
        <v>20</v>
      </c>
      <c r="K27" s="32"/>
      <c r="L27" s="30" t="s">
        <v>208</v>
      </c>
      <c r="M27" s="30"/>
      <c r="N27" s="275" t="s">
        <v>209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 x14ac:dyDescent="0.15">
      <c r="A28" s="21" t="s">
        <v>33</v>
      </c>
      <c r="B28" s="22">
        <v>45959</v>
      </c>
      <c r="C28" s="281" t="s">
        <v>36</v>
      </c>
      <c r="D28" s="281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208</v>
      </c>
      <c r="M28" s="30"/>
      <c r="N28" s="275" t="s">
        <v>209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45960</v>
      </c>
      <c r="C29" s="281" t="s">
        <v>34</v>
      </c>
      <c r="D29" s="281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20</v>
      </c>
      <c r="K29" s="28"/>
      <c r="L29" s="30" t="s">
        <v>208</v>
      </c>
      <c r="M29" s="30"/>
      <c r="N29" s="275" t="s">
        <v>209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45961</v>
      </c>
      <c r="C30" s="39" t="s">
        <v>27</v>
      </c>
      <c r="D30" s="39" t="s">
        <v>27</v>
      </c>
      <c r="E30" s="350" t="s">
        <v>197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284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22</v>
      </c>
      <c r="I31" s="45" t="s">
        <v>102</v>
      </c>
      <c r="J31" s="42"/>
      <c r="K31" s="43"/>
      <c r="L31" s="43"/>
      <c r="M31" s="44"/>
      <c r="N31" s="60"/>
      <c r="O31" s="285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N32" s="57"/>
      <c r="O32" s="31"/>
    </row>
    <row r="33" spans="1:19" ht="12.75" customHeight="1" x14ac:dyDescent="0.15">
      <c r="A33" s="368" t="s">
        <v>53</v>
      </c>
      <c r="B33" s="368"/>
      <c r="C33" s="368"/>
      <c r="D33" s="368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9" t="s">
        <v>57</v>
      </c>
      <c r="M35" s="369"/>
      <c r="N35" s="78"/>
    </row>
    <row r="36" spans="1:19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64</v>
      </c>
      <c r="J36" s="362" t="s">
        <v>65</v>
      </c>
      <c r="K36" s="362" t="s">
        <v>66</v>
      </c>
      <c r="L36" s="270" t="s">
        <v>67</v>
      </c>
      <c r="M36" s="270" t="s">
        <v>68</v>
      </c>
    </row>
    <row r="37" spans="1:19" ht="12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6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 x14ac:dyDescent="0.15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1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42</v>
      </c>
      <c r="M39" s="240">
        <f t="shared" si="2"/>
        <v>-36</v>
      </c>
    </row>
    <row r="40" spans="1:19" ht="12" customHeight="1" x14ac:dyDescent="0.15">
      <c r="A40" s="73"/>
      <c r="B40" s="73"/>
      <c r="C40" s="82" t="s">
        <v>31</v>
      </c>
      <c r="D40" s="278">
        <v>0.8</v>
      </c>
      <c r="E40" s="84">
        <f>COUNTIF($C$4:$C$31,"FONTAINE")+COUNTIF($F$4:$F$31,"FONTAINE")+COUNTIF($J$4:$J$31,"FONTAINE")+COUNTIF($H$4:$H$31,"FONTAINE")</f>
        <v>6</v>
      </c>
      <c r="F40" s="84">
        <f>COUNTIF($D$4:$D$31,"FONTAINE")+COUNTIF($G$4:$G$31,"FONTAINE")</f>
        <v>7</v>
      </c>
      <c r="G40" s="84">
        <f>COUNTIF($E$4:$E$31,"FONTAINE")</f>
        <v>0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158</v>
      </c>
      <c r="M40" s="238">
        <f t="shared" si="2"/>
        <v>56.599999999999994</v>
      </c>
    </row>
    <row r="41" spans="1:19" ht="12" customHeight="1" x14ac:dyDescent="0.15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 x14ac:dyDescent="0.15">
      <c r="A42" s="3"/>
      <c r="B42" s="3"/>
      <c r="C42" s="86" t="s">
        <v>42</v>
      </c>
      <c r="D42" s="279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 x14ac:dyDescent="0.15">
      <c r="A43" s="3"/>
      <c r="B43" s="3"/>
      <c r="C43" s="86" t="s">
        <v>47</v>
      </c>
      <c r="D43" s="279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 x14ac:dyDescent="0.15">
      <c r="A44" s="3"/>
      <c r="B44" s="3"/>
      <c r="C44" s="86" t="s">
        <v>20</v>
      </c>
      <c r="D44" s="279">
        <v>1</v>
      </c>
      <c r="E44" s="84">
        <f>COUNTIF($C$4:$C$31,"TORREGROSSA")+COUNTIF($J$4:$J$31,"TORREGROSSA")+COUNTIF($F$4:$F$31,"TORREGROSSA")+COUNTIF($H$4:$H$31,"TORREGROSSA")</f>
        <v>9</v>
      </c>
      <c r="F44" s="84">
        <f>COUNTIF($D$4:$D$31,"TORREGROSSA")+COUNTIF($G$4:$G$31,"TORREGROSSA")</f>
        <v>4</v>
      </c>
      <c r="G44" s="84">
        <f>COUNTIF($E$4:$E$31,"TORREGROSSA")</f>
        <v>1</v>
      </c>
      <c r="H44" s="84">
        <f>COUNTIF($K$4:$K$31,"TORREGROSSA")</f>
        <v>2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178</v>
      </c>
      <c r="M44" s="238">
        <f t="shared" si="2"/>
        <v>22</v>
      </c>
      <c r="N44" s="3"/>
      <c r="O44" s="3"/>
      <c r="P44" s="3"/>
      <c r="Q44" s="3"/>
      <c r="R44" s="3"/>
      <c r="S44" s="3"/>
    </row>
    <row r="45" spans="1:19" ht="12" customHeight="1" x14ac:dyDescent="0.15">
      <c r="A45" s="3"/>
      <c r="B45" s="3"/>
      <c r="C45" s="86" t="s">
        <v>19</v>
      </c>
      <c r="D45" s="279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 x14ac:dyDescent="0.15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 x14ac:dyDescent="0.15">
      <c r="A47" s="3"/>
      <c r="B47" s="3"/>
      <c r="C47" s="86" t="s">
        <v>27</v>
      </c>
      <c r="D47" s="279">
        <v>0.8</v>
      </c>
      <c r="E47" s="84">
        <f>COUNTIF($C$4:$C$31,"RACHIDI")+COUNTIF($F$4:$F$31,"RACHIDI")+COUNTIF($H$4:$H$31,"RACHIDI")+COUNTIF($J$4:$J$31,"RACHIDI")</f>
        <v>4</v>
      </c>
      <c r="F47" s="84">
        <f>COUNTIF($D$4:$D$31,"RACHIDI")+COUNTIF($G$4:$G$31,"RACHIDI")</f>
        <v>5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110</v>
      </c>
      <c r="M47" s="238">
        <f t="shared" si="2"/>
        <v>16.399999999999991</v>
      </c>
      <c r="N47" s="3"/>
      <c r="O47" s="3"/>
      <c r="P47" s="3"/>
      <c r="Q47" s="3"/>
      <c r="R47" s="3"/>
      <c r="S47" s="3"/>
    </row>
    <row r="48" spans="1:19" ht="12" customHeight="1" x14ac:dyDescent="0.15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 x14ac:dyDescent="0.15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3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164</v>
      </c>
      <c r="M49" s="238">
        <f t="shared" si="2"/>
        <v>23.599999999999994</v>
      </c>
      <c r="N49" s="3"/>
      <c r="O49" s="3"/>
      <c r="P49" s="3"/>
      <c r="Q49" s="3"/>
      <c r="R49" s="3"/>
      <c r="S49" s="3"/>
    </row>
    <row r="50" spans="1:21" ht="12" customHeight="1" x14ac:dyDescent="0.15">
      <c r="A50" s="3"/>
      <c r="B50" s="3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158</v>
      </c>
      <c r="M50" s="238">
        <f t="shared" si="2"/>
        <v>2</v>
      </c>
      <c r="N50" s="3"/>
      <c r="O50" s="3"/>
      <c r="P50" s="3"/>
      <c r="Q50" s="3"/>
      <c r="R50" s="3"/>
      <c r="S50" s="3"/>
      <c r="T50" s="3"/>
    </row>
    <row r="51" spans="1:21" ht="12" customHeight="1" x14ac:dyDescent="0.15">
      <c r="A51" s="3"/>
      <c r="B51" s="3"/>
      <c r="C51" s="86" t="s">
        <v>48</v>
      </c>
      <c r="D51" s="279">
        <v>1</v>
      </c>
      <c r="E51" s="84">
        <f>COUNTIF($C$4:$C$31,"AFZAL")+COUNTIF($I$4:$I$31,"AFZAL")+COUNTIF($H$4:$H$31,"AFZAL")+COUNTIF($F$4:$F$31,"AFZAL")+D60+COUNTIF($J$4:$J$31,"AFZAL")</f>
        <v>5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118</v>
      </c>
      <c r="M51" s="238">
        <f t="shared" si="2"/>
        <v>8.7999999999999972</v>
      </c>
      <c r="N51" s="3"/>
      <c r="O51" s="3"/>
      <c r="P51" s="3"/>
      <c r="Q51" s="3"/>
      <c r="R51" s="3"/>
      <c r="S51" s="3"/>
      <c r="T51" s="3"/>
    </row>
    <row r="52" spans="1:21" ht="12" customHeight="1" x14ac:dyDescent="0.15">
      <c r="A52" s="3"/>
      <c r="B52" s="3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 x14ac:dyDescent="0.15">
      <c r="A53" s="3"/>
      <c r="B53" s="3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5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 x14ac:dyDescent="0.15">
      <c r="A54" s="3"/>
      <c r="B54" s="3"/>
      <c r="C54" s="86" t="s">
        <v>32</v>
      </c>
      <c r="D54" s="279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>
        <v>3</v>
      </c>
      <c r="J54" s="85">
        <f t="shared" si="3"/>
        <v>30.6</v>
      </c>
      <c r="K54" s="86">
        <f t="shared" si="1"/>
        <v>132.6</v>
      </c>
      <c r="L54" s="86">
        <f t="shared" si="4"/>
        <v>166</v>
      </c>
      <c r="M54" s="238">
        <f t="shared" si="2"/>
        <v>33.400000000000006</v>
      </c>
      <c r="N54" s="3"/>
      <c r="O54" s="3"/>
      <c r="P54" s="3"/>
      <c r="Q54" s="3"/>
      <c r="R54" s="3"/>
      <c r="S54" s="3"/>
      <c r="T54" s="3"/>
    </row>
    <row r="55" spans="1:21" ht="12" customHeight="1" x14ac:dyDescent="0.15">
      <c r="A55" s="3"/>
      <c r="B55" s="3"/>
      <c r="C55" s="86" t="s">
        <v>102</v>
      </c>
      <c r="D55" s="279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3"/>
        <v>30.6</v>
      </c>
      <c r="K55" s="86">
        <f t="shared" si="1"/>
        <v>132.6</v>
      </c>
      <c r="L55" s="86">
        <f t="shared" si="4"/>
        <v>180</v>
      </c>
      <c r="M55" s="86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 x14ac:dyDescent="0.15">
      <c r="A56" s="3"/>
      <c r="B56" s="3"/>
      <c r="C56" s="86" t="s">
        <v>168</v>
      </c>
      <c r="D56" s="279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>
        <v>3</v>
      </c>
      <c r="J56" s="85">
        <f t="shared" si="3"/>
        <v>30.6</v>
      </c>
      <c r="K56" s="86">
        <f t="shared" si="1"/>
        <v>132.6</v>
      </c>
      <c r="L56" s="86">
        <f t="shared" si="4"/>
        <v>158</v>
      </c>
      <c r="M56" s="238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 x14ac:dyDescent="0.15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 x14ac:dyDescent="0.15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 x14ac:dyDescent="0.15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 x14ac:dyDescent="0.15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 x14ac:dyDescent="0.15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15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 x14ac:dyDescent="0.15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F4:L4 C5:J5 F8:J12 C6:D6 C22:D22 M6:M7 C7:C9 E7:I7 D8:D9 E18:E21 K9:K11 M9:M17 L5:L8 E13:I13 I15:L15 F15 L11:L14 C16:D18 H16:K16 E17:K17 F6:I6 F14:K14 F19:J20 F21:F24 I21 K21 J31:L31 C23:C24 G22:J22 E23:E24 G23 I23:K23 D24 H24:K24 E25:K25 H18:J18 J28:K30 C26:I31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zoomScale="112" zoomScaleNormal="112" workbookViewId="0">
      <selection activeCell="I47" sqref="I47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3.4453125" style="1" customWidth="1"/>
    <col min="9" max="9" width="11.67578125" style="2" customWidth="1"/>
    <col min="10" max="10" width="14.15625" style="1" customWidth="1"/>
    <col min="11" max="11" width="15.453125" style="1" customWidth="1"/>
    <col min="12" max="12" width="13.328125" style="1" customWidth="1"/>
    <col min="13" max="13" width="8.01953125" style="1" customWidth="1"/>
    <col min="14" max="14" width="12.62109375" style="1" customWidth="1"/>
    <col min="15" max="15" width="5.660156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4" ht="14.25" customHeight="1" x14ac:dyDescent="0.15">
      <c r="A1" s="365" t="s">
        <v>210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4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6"/>
      <c r="J2" s="368" t="s">
        <v>4</v>
      </c>
      <c r="K2" s="368"/>
      <c r="L2" s="368"/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160</v>
      </c>
      <c r="K3" s="13" t="s">
        <v>211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 x14ac:dyDescent="0.15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7" t="s">
        <v>32</v>
      </c>
      <c r="H4" s="52" t="s">
        <v>42</v>
      </c>
      <c r="I4" s="288" t="s">
        <v>212</v>
      </c>
      <c r="J4" s="27" t="s">
        <v>38</v>
      </c>
      <c r="K4" s="28"/>
      <c r="L4" s="172" t="s">
        <v>213</v>
      </c>
      <c r="M4" s="30"/>
      <c r="N4" s="28"/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 x14ac:dyDescent="0.15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51" t="s">
        <v>19</v>
      </c>
      <c r="I5" s="63"/>
      <c r="J5" s="24" t="s">
        <v>29</v>
      </c>
      <c r="K5" s="32"/>
      <c r="L5" s="172" t="s">
        <v>213</v>
      </c>
      <c r="M5" s="34"/>
      <c r="N5" s="28"/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 x14ac:dyDescent="0.15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7" t="s">
        <v>32</v>
      </c>
      <c r="I6" s="63"/>
      <c r="J6" s="24" t="s">
        <v>29</v>
      </c>
      <c r="K6" s="36"/>
      <c r="L6" s="172" t="s">
        <v>213</v>
      </c>
      <c r="M6" s="172"/>
      <c r="N6" s="28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 x14ac:dyDescent="0.15">
      <c r="A7" s="21" t="s">
        <v>33</v>
      </c>
      <c r="B7" s="22">
        <v>45966</v>
      </c>
      <c r="C7" s="27" t="s">
        <v>38</v>
      </c>
      <c r="D7" s="27" t="s">
        <v>38</v>
      </c>
      <c r="E7" s="287" t="s">
        <v>32</v>
      </c>
      <c r="F7" s="24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213</v>
      </c>
      <c r="M7" s="172"/>
      <c r="N7" s="28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 x14ac:dyDescent="0.15">
      <c r="A8" s="21" t="s">
        <v>35</v>
      </c>
      <c r="B8" s="22">
        <v>45967</v>
      </c>
      <c r="C8" s="32" t="s">
        <v>27</v>
      </c>
      <c r="D8" s="32" t="s">
        <v>27</v>
      </c>
      <c r="E8" s="351" t="s">
        <v>19</v>
      </c>
      <c r="F8" s="32" t="s">
        <v>34</v>
      </c>
      <c r="G8" s="32" t="s">
        <v>34</v>
      </c>
      <c r="H8" s="48" t="s">
        <v>21</v>
      </c>
      <c r="I8" s="63"/>
      <c r="J8" s="51" t="s">
        <v>22</v>
      </c>
      <c r="K8" s="36"/>
      <c r="L8" s="172" t="s">
        <v>213</v>
      </c>
      <c r="M8" s="34"/>
      <c r="N8" s="28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 x14ac:dyDescent="0.15">
      <c r="A9" s="37" t="s">
        <v>41</v>
      </c>
      <c r="B9" s="38">
        <v>45968</v>
      </c>
      <c r="C9" s="289" t="s">
        <v>20</v>
      </c>
      <c r="D9" s="289" t="s">
        <v>20</v>
      </c>
      <c r="E9" s="329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18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 x14ac:dyDescent="0.15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89" t="s">
        <v>34</v>
      </c>
      <c r="G10" s="289" t="s">
        <v>34</v>
      </c>
      <c r="H10" s="287" t="s">
        <v>32</v>
      </c>
      <c r="I10" s="288" t="s">
        <v>212</v>
      </c>
      <c r="J10" s="42"/>
      <c r="K10" s="43"/>
      <c r="L10" s="44"/>
      <c r="M10" s="44"/>
      <c r="N10" s="178"/>
      <c r="O10" s="318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 x14ac:dyDescent="0.15">
      <c r="A11" s="21" t="s">
        <v>18</v>
      </c>
      <c r="B11" s="22">
        <v>45970</v>
      </c>
      <c r="C11" s="287" t="s">
        <v>32</v>
      </c>
      <c r="D11" s="287" t="s">
        <v>32</v>
      </c>
      <c r="E11" s="32" t="s">
        <v>20</v>
      </c>
      <c r="F11" s="24" t="s">
        <v>22</v>
      </c>
      <c r="G11" s="32" t="s">
        <v>27</v>
      </c>
      <c r="H11" s="48" t="s">
        <v>28</v>
      </c>
      <c r="I11" s="288" t="s">
        <v>212</v>
      </c>
      <c r="J11" s="24" t="s">
        <v>29</v>
      </c>
      <c r="K11" s="28"/>
      <c r="L11" s="172" t="s">
        <v>213</v>
      </c>
      <c r="M11" s="34"/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 x14ac:dyDescent="0.15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51" t="s">
        <v>19</v>
      </c>
      <c r="G12" s="52" t="s">
        <v>36</v>
      </c>
      <c r="H12" s="32" t="s">
        <v>20</v>
      </c>
      <c r="I12" s="32"/>
      <c r="J12" s="24" t="s">
        <v>29</v>
      </c>
      <c r="K12" s="32"/>
      <c r="L12" s="172" t="s">
        <v>213</v>
      </c>
      <c r="M12" s="30"/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 x14ac:dyDescent="0.15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5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 x14ac:dyDescent="0.15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51" t="s">
        <v>19</v>
      </c>
      <c r="K14" s="28"/>
      <c r="L14" s="172" t="s">
        <v>213</v>
      </c>
      <c r="M14" s="30"/>
      <c r="N14" s="49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 x14ac:dyDescent="0.15">
      <c r="A15" s="21" t="s">
        <v>35</v>
      </c>
      <c r="B15" s="22">
        <v>45974</v>
      </c>
      <c r="C15" s="27" t="s">
        <v>38</v>
      </c>
      <c r="D15" s="27" t="s">
        <v>38</v>
      </c>
      <c r="E15" s="287" t="s">
        <v>32</v>
      </c>
      <c r="F15" s="32" t="s">
        <v>37</v>
      </c>
      <c r="G15" s="24" t="s">
        <v>22</v>
      </c>
      <c r="H15" s="32" t="s">
        <v>20</v>
      </c>
      <c r="I15" s="32"/>
      <c r="J15" s="24" t="s">
        <v>22</v>
      </c>
      <c r="K15" s="32"/>
      <c r="L15" s="30"/>
      <c r="M15" s="30"/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 x14ac:dyDescent="0.15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89" t="s">
        <v>34</v>
      </c>
      <c r="G16" s="289" t="s">
        <v>34</v>
      </c>
      <c r="H16" s="39" t="s">
        <v>21</v>
      </c>
      <c r="I16" s="39"/>
      <c r="J16" s="42"/>
      <c r="K16" s="43"/>
      <c r="L16" s="55"/>
      <c r="M16" s="55"/>
      <c r="N16" s="135"/>
      <c r="O16" s="319"/>
      <c r="P16" s="311"/>
      <c r="Q16" s="311"/>
      <c r="R16" s="3"/>
      <c r="S16" s="3"/>
      <c r="T16" s="3"/>
    </row>
    <row r="17" spans="1:24" ht="12.75" customHeight="1" x14ac:dyDescent="0.15">
      <c r="A17" s="37" t="s">
        <v>43</v>
      </c>
      <c r="B17" s="38">
        <v>45976</v>
      </c>
      <c r="C17" s="282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8" t="s">
        <v>212</v>
      </c>
      <c r="J17" s="42"/>
      <c r="K17" s="43"/>
      <c r="L17" s="55"/>
      <c r="M17" s="55"/>
      <c r="N17" s="135"/>
      <c r="O17" s="319"/>
      <c r="P17" s="317"/>
      <c r="Q17" s="311"/>
      <c r="R17" s="3"/>
      <c r="S17" s="3"/>
      <c r="T17" s="3"/>
    </row>
    <row r="18" spans="1:24" ht="12.75" customHeight="1" x14ac:dyDescent="0.15">
      <c r="A18" s="21" t="s">
        <v>18</v>
      </c>
      <c r="B18" s="290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8" t="s">
        <v>212</v>
      </c>
      <c r="J18" s="24" t="s">
        <v>48</v>
      </c>
      <c r="K18" s="32"/>
      <c r="L18" s="30" t="s">
        <v>156</v>
      </c>
      <c r="M18" s="30"/>
      <c r="N18" s="28"/>
      <c r="O18" s="313"/>
      <c r="P18" s="317"/>
      <c r="Q18" s="311"/>
      <c r="R18" s="3"/>
      <c r="S18" s="3"/>
      <c r="T18" s="3"/>
    </row>
    <row r="19" spans="1:24" ht="12.75" customHeight="1" x14ac:dyDescent="0.15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3"/>
      <c r="P19" s="317"/>
      <c r="Q19" s="311"/>
      <c r="R19" s="3"/>
      <c r="S19" s="3"/>
      <c r="T19" s="3"/>
      <c r="U19" s="192"/>
    </row>
    <row r="20" spans="1:24" ht="12.75" customHeight="1" x14ac:dyDescent="0.15">
      <c r="A20" s="21" t="s">
        <v>30</v>
      </c>
      <c r="B20" s="22">
        <v>45979</v>
      </c>
      <c r="C20" s="142" t="s">
        <v>38</v>
      </c>
      <c r="D20" s="27" t="s">
        <v>38</v>
      </c>
      <c r="E20" s="351" t="s">
        <v>19</v>
      </c>
      <c r="F20" s="352" t="s">
        <v>32</v>
      </c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3"/>
      <c r="P20" s="317"/>
      <c r="Q20" s="311"/>
      <c r="R20" s="3"/>
      <c r="S20" s="3"/>
      <c r="T20" s="3"/>
      <c r="U20" s="1" t="s">
        <v>127</v>
      </c>
    </row>
    <row r="21" spans="1:24" ht="12.75" customHeight="1" x14ac:dyDescent="0.15">
      <c r="A21" s="21" t="s">
        <v>33</v>
      </c>
      <c r="B21" s="22">
        <v>45980</v>
      </c>
      <c r="C21" s="32" t="s">
        <v>20</v>
      </c>
      <c r="D21" s="24" t="s">
        <v>22</v>
      </c>
      <c r="E21" s="287" t="s">
        <v>32</v>
      </c>
      <c r="F21" s="48" t="s">
        <v>21</v>
      </c>
      <c r="G21" s="48" t="s">
        <v>28</v>
      </c>
      <c r="H21" s="48" t="s">
        <v>28</v>
      </c>
      <c r="I21" s="32"/>
      <c r="J21" s="24" t="s">
        <v>22</v>
      </c>
      <c r="K21" s="28"/>
      <c r="L21" s="30" t="s">
        <v>156</v>
      </c>
      <c r="M21" s="30"/>
      <c r="N21" s="28" t="s">
        <v>214</v>
      </c>
      <c r="O21" s="313"/>
      <c r="P21" s="317"/>
      <c r="Q21" s="311"/>
      <c r="R21" s="3"/>
      <c r="S21" s="3"/>
      <c r="T21" s="3"/>
    </row>
    <row r="22" spans="1:24" ht="12.75" customHeight="1" x14ac:dyDescent="0.15">
      <c r="A22" s="21" t="s">
        <v>35</v>
      </c>
      <c r="B22" s="22">
        <v>45981</v>
      </c>
      <c r="C22" s="52" t="s">
        <v>36</v>
      </c>
      <c r="D22" s="52" t="s">
        <v>36</v>
      </c>
      <c r="E22" s="351" t="s">
        <v>19</v>
      </c>
      <c r="F22" s="352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3"/>
      <c r="P22" s="317"/>
      <c r="Q22" s="311"/>
      <c r="R22" s="3"/>
      <c r="S22" s="3"/>
      <c r="T22" s="3"/>
    </row>
    <row r="23" spans="1:24" ht="12.75" customHeight="1" x14ac:dyDescent="0.15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19"/>
      <c r="P23" s="317"/>
      <c r="Q23" s="311"/>
      <c r="R23" s="3"/>
      <c r="S23" s="3"/>
      <c r="T23" s="3"/>
    </row>
    <row r="24" spans="1:24" ht="12.75" customHeight="1" x14ac:dyDescent="0.15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50" t="s">
        <v>197</v>
      </c>
      <c r="I24" s="291" t="s">
        <v>102</v>
      </c>
      <c r="J24" s="42"/>
      <c r="K24" s="43"/>
      <c r="L24" s="55"/>
      <c r="M24" s="55"/>
      <c r="N24" s="135"/>
      <c r="O24" s="319"/>
      <c r="P24" s="317"/>
      <c r="Q24" s="317"/>
      <c r="R24" s="3"/>
      <c r="S24" s="3"/>
      <c r="T24" s="3"/>
    </row>
    <row r="25" spans="1:24" ht="12.75" customHeight="1" x14ac:dyDescent="0.15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51" t="s">
        <v>22</v>
      </c>
      <c r="I25" s="291" t="s">
        <v>44</v>
      </c>
      <c r="J25" s="24" t="s">
        <v>48</v>
      </c>
      <c r="K25" s="32"/>
      <c r="L25" s="30"/>
      <c r="M25" s="30"/>
      <c r="N25" s="28" t="s">
        <v>215</v>
      </c>
      <c r="O25" s="313"/>
      <c r="P25" s="311"/>
      <c r="Q25" s="317"/>
      <c r="R25" s="3"/>
      <c r="S25" s="3"/>
      <c r="T25" s="3"/>
    </row>
    <row r="26" spans="1:24" ht="13.5" customHeight="1" x14ac:dyDescent="0.15">
      <c r="A26" s="195" t="s">
        <v>26</v>
      </c>
      <c r="B26" s="292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215</v>
      </c>
      <c r="O26" s="313"/>
      <c r="P26" s="311"/>
      <c r="Q26" s="317"/>
      <c r="R26" s="3"/>
      <c r="S26" s="3"/>
      <c r="T26" s="3"/>
    </row>
    <row r="27" spans="1:24" ht="12.75" customHeight="1" x14ac:dyDescent="0.15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24" t="s">
        <v>22</v>
      </c>
      <c r="K27" s="64"/>
      <c r="L27" s="180"/>
      <c r="M27" s="30"/>
      <c r="N27" s="28" t="s">
        <v>215</v>
      </c>
      <c r="O27" s="313"/>
      <c r="P27" s="311"/>
      <c r="Q27" s="317"/>
      <c r="R27" s="3"/>
      <c r="S27" s="3"/>
      <c r="T27" s="3"/>
    </row>
    <row r="28" spans="1:24" ht="12.75" customHeight="1" x14ac:dyDescent="0.15">
      <c r="A28" s="170" t="s">
        <v>33</v>
      </c>
      <c r="B28" s="293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215</v>
      </c>
      <c r="O28" s="313"/>
      <c r="P28" s="311"/>
      <c r="Q28" s="317"/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170" t="s">
        <v>35</v>
      </c>
      <c r="B29" s="294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5"/>
      <c r="L29" s="180"/>
      <c r="M29" s="30"/>
      <c r="N29" s="28" t="s">
        <v>215</v>
      </c>
      <c r="O29" s="313"/>
      <c r="P29" s="311"/>
      <c r="Q29" s="317"/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45989</v>
      </c>
      <c r="C30" s="282" t="s">
        <v>27</v>
      </c>
      <c r="D30" s="229" t="s">
        <v>27</v>
      </c>
      <c r="E30" s="24" t="s">
        <v>48</v>
      </c>
      <c r="F30" s="24" t="s">
        <v>22</v>
      </c>
      <c r="G30" s="24" t="s">
        <v>22</v>
      </c>
      <c r="H30" s="24" t="s">
        <v>44</v>
      </c>
      <c r="I30" s="39"/>
      <c r="J30" s="42"/>
      <c r="K30" s="43"/>
      <c r="L30" s="185"/>
      <c r="M30" s="44"/>
      <c r="N30" s="135"/>
      <c r="O30" s="319"/>
      <c r="P30" s="311"/>
      <c r="Q30" s="317"/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350" t="s">
        <v>197</v>
      </c>
      <c r="I31" s="291" t="s">
        <v>168</v>
      </c>
      <c r="J31" s="42"/>
      <c r="K31" s="43"/>
      <c r="L31" s="185"/>
      <c r="M31" s="44"/>
      <c r="N31" s="135"/>
      <c r="O31" s="319"/>
      <c r="P31" s="311"/>
      <c r="Q31" s="317"/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A32" s="21" t="s">
        <v>18</v>
      </c>
      <c r="B32" s="22">
        <v>45991</v>
      </c>
      <c r="C32" s="296" t="s">
        <v>34</v>
      </c>
      <c r="D32" s="190" t="s">
        <v>34</v>
      </c>
      <c r="E32" s="24" t="s">
        <v>32</v>
      </c>
      <c r="F32" s="24" t="s">
        <v>22</v>
      </c>
      <c r="G32" s="24" t="s">
        <v>22</v>
      </c>
      <c r="H32" s="48" t="s">
        <v>21</v>
      </c>
      <c r="I32" s="291" t="s">
        <v>102</v>
      </c>
      <c r="J32" s="27" t="s">
        <v>38</v>
      </c>
      <c r="K32" s="28"/>
      <c r="L32" s="30" t="s">
        <v>52</v>
      </c>
      <c r="M32" s="30"/>
      <c r="N32" s="28" t="s">
        <v>216</v>
      </c>
      <c r="O32" s="313"/>
      <c r="P32" s="311"/>
      <c r="Q32" s="317"/>
    </row>
    <row r="33" spans="1:17" ht="12.75" customHeight="1" x14ac:dyDescent="0.15">
      <c r="A33" s="283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51" t="s">
        <v>19</v>
      </c>
      <c r="K33" s="32"/>
      <c r="L33" s="30" t="s">
        <v>52</v>
      </c>
      <c r="M33" s="30"/>
      <c r="N33" s="28" t="s">
        <v>216</v>
      </c>
      <c r="O33" s="313"/>
      <c r="P33" s="311"/>
      <c r="Q33" s="317"/>
    </row>
    <row r="34" spans="1:17" ht="12.75" customHeight="1" x14ac:dyDescent="0.15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216</v>
      </c>
      <c r="O34" s="313"/>
      <c r="P34" s="311"/>
      <c r="Q34" s="317"/>
    </row>
    <row r="35" spans="1:17" ht="12.75" customHeight="1" x14ac:dyDescent="0.15">
      <c r="A35" s="21" t="s">
        <v>33</v>
      </c>
      <c r="B35" s="22">
        <v>45994</v>
      </c>
      <c r="C35" s="297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2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216</v>
      </c>
      <c r="O35" s="313"/>
      <c r="P35" s="311"/>
      <c r="Q35" s="317"/>
    </row>
    <row r="36" spans="1:17" ht="12.75" customHeight="1" x14ac:dyDescent="0.15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24" t="s">
        <v>22</v>
      </c>
      <c r="K36" s="295"/>
      <c r="L36" s="30" t="s">
        <v>52</v>
      </c>
      <c r="M36" s="30"/>
      <c r="N36" s="28" t="s">
        <v>216</v>
      </c>
      <c r="O36" s="313"/>
      <c r="P36" s="311"/>
      <c r="Q36" s="317"/>
    </row>
    <row r="37" spans="1:17" ht="12.75" customHeight="1" x14ac:dyDescent="0.15">
      <c r="A37" s="37" t="s">
        <v>41</v>
      </c>
      <c r="B37" s="38">
        <v>45996</v>
      </c>
      <c r="C37" s="289" t="s">
        <v>19</v>
      </c>
      <c r="D37" s="289" t="s">
        <v>20</v>
      </c>
      <c r="E37" s="58" t="s">
        <v>47</v>
      </c>
      <c r="F37" s="39" t="s">
        <v>37</v>
      </c>
      <c r="G37" s="24" t="s">
        <v>22</v>
      </c>
      <c r="H37" s="39" t="s">
        <v>21</v>
      </c>
      <c r="I37" s="39"/>
      <c r="J37" s="42"/>
      <c r="K37" s="43"/>
      <c r="L37" s="185"/>
      <c r="M37" s="44"/>
      <c r="N37" s="135"/>
      <c r="O37" s="319"/>
      <c r="P37" s="311"/>
      <c r="Q37" s="317"/>
    </row>
    <row r="38" spans="1:17" ht="12.75" customHeight="1" x14ac:dyDescent="0.15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1" t="s">
        <v>23</v>
      </c>
      <c r="J38" s="42"/>
      <c r="K38" s="43"/>
      <c r="L38" s="185"/>
      <c r="M38" s="44"/>
      <c r="N38" s="135"/>
      <c r="O38" s="319"/>
      <c r="P38" s="311"/>
      <c r="Q38" s="317"/>
    </row>
    <row r="39" spans="1:17" ht="12.75" customHeight="1" x14ac:dyDescent="0.15">
      <c r="B39" s="71"/>
      <c r="F39" s="20"/>
      <c r="N39" s="57"/>
      <c r="O39" s="31"/>
    </row>
    <row r="40" spans="1:17" ht="12.75" customHeight="1" x14ac:dyDescent="0.15">
      <c r="A40" s="368" t="s">
        <v>53</v>
      </c>
      <c r="B40" s="368"/>
      <c r="C40" s="368"/>
      <c r="D40" s="368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 x14ac:dyDescent="0.15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 x14ac:dyDescent="0.15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69" t="s">
        <v>57</v>
      </c>
      <c r="M42" s="369"/>
      <c r="N42" s="78"/>
    </row>
    <row r="43" spans="1:17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2" t="s">
        <v>64</v>
      </c>
      <c r="J43" s="362" t="s">
        <v>65</v>
      </c>
      <c r="K43" s="362" t="s">
        <v>66</v>
      </c>
      <c r="L43" s="270" t="s">
        <v>67</v>
      </c>
      <c r="M43" s="270" t="s">
        <v>68</v>
      </c>
    </row>
    <row r="44" spans="1:17" ht="12" customHeight="1" x14ac:dyDescent="0.15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8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 x14ac:dyDescent="0.15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 x14ac:dyDescent="0.15">
      <c r="A46" s="73"/>
      <c r="B46" s="73"/>
      <c r="C46" s="82" t="s">
        <v>21</v>
      </c>
      <c r="D46" s="278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 x14ac:dyDescent="0.15">
      <c r="A47" s="73"/>
      <c r="B47" s="73"/>
      <c r="C47" s="82" t="s">
        <v>31</v>
      </c>
      <c r="D47" s="278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>
        <v>3</v>
      </c>
      <c r="J47" s="85">
        <f t="shared" si="0"/>
        <v>30.240000000000002</v>
      </c>
      <c r="K47" s="86">
        <f t="shared" si="1"/>
        <v>126.35999999999999</v>
      </c>
      <c r="L47" s="86">
        <f>E47*10+F47*14+G47*12</f>
        <v>196</v>
      </c>
      <c r="M47" s="238">
        <f t="shared" si="2"/>
        <v>69.640000000000015</v>
      </c>
    </row>
    <row r="48" spans="1:17" ht="12" customHeight="1" x14ac:dyDescent="0.15">
      <c r="A48" s="3"/>
      <c r="B48" s="3"/>
      <c r="C48" s="86" t="s">
        <v>28</v>
      </c>
      <c r="D48" s="279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 x14ac:dyDescent="0.15">
      <c r="A49" s="3"/>
      <c r="B49" s="3"/>
      <c r="C49" s="86" t="s">
        <v>42</v>
      </c>
      <c r="D49" s="279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 x14ac:dyDescent="0.15">
      <c r="A50" s="3"/>
      <c r="B50" s="3"/>
      <c r="C50" s="86" t="s">
        <v>47</v>
      </c>
      <c r="D50" s="279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 x14ac:dyDescent="0.15">
      <c r="A51" s="3"/>
      <c r="B51" s="3"/>
      <c r="C51" s="86" t="s">
        <v>20</v>
      </c>
      <c r="D51" s="279">
        <v>1</v>
      </c>
      <c r="E51" s="84">
        <f>COUNTIF($C$4:$C$38,"TORREGROSSA")+COUNTIF($F$4:$F$38,"TORREGROSSA")+COUNTIF($H$4:$H$38,"TORREGROSSA")+COUNTIF($J$4:$J$38,"TORREGROSSA")</f>
        <v>8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>
        <v>5</v>
      </c>
      <c r="J51" s="85">
        <f t="shared" ref="J51:J63" si="3">D51*((9*$D$42)-($F$42*9/5))-(D51*(I51*1.8))</f>
        <v>34.200000000000003</v>
      </c>
      <c r="K51" s="86">
        <f t="shared" si="1"/>
        <v>148.19999999999999</v>
      </c>
      <c r="L51" s="86">
        <f>E51*10+F51*14+G51*12+H51*10</f>
        <v>174</v>
      </c>
      <c r="M51" s="238">
        <f t="shared" si="2"/>
        <v>25.800000000000011</v>
      </c>
      <c r="N51" s="3"/>
      <c r="O51" s="3"/>
      <c r="P51" s="3"/>
      <c r="Q51" s="3"/>
      <c r="R51" s="3"/>
      <c r="S51" s="3"/>
    </row>
    <row r="52" spans="1:21" ht="12" customHeight="1" x14ac:dyDescent="0.15">
      <c r="A52" s="3"/>
      <c r="B52" s="3"/>
      <c r="C52" s="86" t="s">
        <v>19</v>
      </c>
      <c r="D52" s="279">
        <v>0.4</v>
      </c>
      <c r="E52" s="84">
        <f>COUNTIF($C$4:$C$38,"BALLOT")+COUNTIF($F$4:$F$38,"BALLOT")+COUNTIF($H$4:$H$38,"BALLOT")+COUNTIF($J$4:$J$38,"BALLOT")</f>
        <v>5</v>
      </c>
      <c r="F52" s="84">
        <f>COUNTIF($D$4:$D$38,"BALLOT")+COUNTIF($G$4:$G$38,"BALLOT")</f>
        <v>0</v>
      </c>
      <c r="G52" s="84">
        <f>COUNTIF($E$4:$E$38,"BALLOT")</f>
        <v>3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86</v>
      </c>
      <c r="M52" s="240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 x14ac:dyDescent="0.15">
      <c r="A53" s="3"/>
      <c r="B53" s="3"/>
      <c r="C53" s="86" t="s">
        <v>37</v>
      </c>
      <c r="D53" s="279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 x14ac:dyDescent="0.15">
      <c r="A54" s="3"/>
      <c r="B54" s="3"/>
      <c r="C54" s="86" t="s">
        <v>27</v>
      </c>
      <c r="D54" s="279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 x14ac:dyDescent="0.15">
      <c r="A55" s="3"/>
      <c r="B55" s="3"/>
      <c r="C55" s="86" t="s">
        <v>34</v>
      </c>
      <c r="D55" s="279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 x14ac:dyDescent="0.15">
      <c r="A56" s="3"/>
      <c r="B56" s="3"/>
      <c r="C56" s="86" t="s">
        <v>22</v>
      </c>
      <c r="D56" s="279">
        <v>1</v>
      </c>
      <c r="E56" s="280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 x14ac:dyDescent="0.15">
      <c r="A57" s="3"/>
      <c r="B57" s="3"/>
      <c r="C57" s="86" t="s">
        <v>29</v>
      </c>
      <c r="D57" s="279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 x14ac:dyDescent="0.15">
      <c r="A58" s="3"/>
      <c r="B58" s="3"/>
      <c r="C58" s="86" t="s">
        <v>48</v>
      </c>
      <c r="D58" s="279">
        <v>1</v>
      </c>
      <c r="E58" s="280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 x14ac:dyDescent="0.15">
      <c r="A59" s="3"/>
      <c r="B59" s="3"/>
      <c r="C59" s="86" t="s">
        <v>44</v>
      </c>
      <c r="D59" s="279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 x14ac:dyDescent="0.15">
      <c r="A60" s="3"/>
      <c r="B60" s="3"/>
      <c r="C60" s="86" t="s">
        <v>23</v>
      </c>
      <c r="D60" s="279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 x14ac:dyDescent="0.15">
      <c r="A61" s="3"/>
      <c r="B61" s="3"/>
      <c r="C61" s="86" t="s">
        <v>32</v>
      </c>
      <c r="D61" s="279">
        <v>1</v>
      </c>
      <c r="E61" s="84">
        <f>COUNTIF($C$4:$C$38,"RADO")+COUNTIF($F$4:$F$38,"RADO")+COUNTIF($H$4:$H$38,"RADO")+COUNTIF($I$4:$I$38,"RADO")+D70+COUNTIF($J$4:$J$38,"RADO")</f>
        <v>8</v>
      </c>
      <c r="F61" s="84">
        <f>COUNTIF($D$4:$D$38,"RADO")+COUNTIF($I$4:$I$38,"RADO")+COUNTIF($G$4:$G$38,"RADO")</f>
        <v>5</v>
      </c>
      <c r="G61" s="84">
        <f>COUNTIF($E$4:$E$38,"RADO")</f>
        <v>5</v>
      </c>
      <c r="H61" s="84"/>
      <c r="I61" s="86">
        <v>3</v>
      </c>
      <c r="J61" s="85">
        <f t="shared" si="3"/>
        <v>37.800000000000004</v>
      </c>
      <c r="K61" s="86">
        <f t="shared" si="1"/>
        <v>163.79999999999998</v>
      </c>
      <c r="L61" s="86">
        <f t="shared" si="4"/>
        <v>210</v>
      </c>
      <c r="M61" s="325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 x14ac:dyDescent="0.15">
      <c r="A62" s="3"/>
      <c r="B62" s="3"/>
      <c r="C62" s="86" t="s">
        <v>102</v>
      </c>
      <c r="D62" s="279">
        <v>1</v>
      </c>
      <c r="E62" s="84">
        <f>COUNTIF($C$4:$C$38,"TODY")+COUNTIF($F$4:$F$38,"TODY")+COUNTIF($H$4:$H$38,"TODY")+COUNTIF($I$4:$I$38,"TODY")+D71+COUNTIF($J$4:$J$38,"TODY")</f>
        <v>4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>
        <v>3</v>
      </c>
      <c r="J62" s="85">
        <f t="shared" si="3"/>
        <v>37.800000000000004</v>
      </c>
      <c r="K62" s="86">
        <f t="shared" si="1"/>
        <v>163.79999999999998</v>
      </c>
      <c r="L62" s="86">
        <f t="shared" si="4"/>
        <v>92</v>
      </c>
      <c r="M62" s="240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2">
      <c r="A63" s="3"/>
      <c r="B63" s="3"/>
      <c r="C63" s="188" t="s">
        <v>168</v>
      </c>
      <c r="D63" s="279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>
        <v>3</v>
      </c>
      <c r="J63" s="85">
        <f t="shared" si="3"/>
        <v>37.800000000000004</v>
      </c>
      <c r="K63" s="86">
        <f t="shared" si="1"/>
        <v>163.79999999999998</v>
      </c>
      <c r="L63" s="86">
        <f t="shared" si="4"/>
        <v>84</v>
      </c>
      <c r="M63" s="238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2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 x14ac:dyDescent="0.15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 x14ac:dyDescent="0.15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 x14ac:dyDescent="0.15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 x14ac:dyDescent="0.15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 x14ac:dyDescent="0.15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 x14ac:dyDescent="0.15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 x14ac:dyDescent="0.15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 x14ac:dyDescent="0.15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12:H14 J12 L12 F33:J33 C14:D23 L14 E18:J18 I16:K16 C25:J25 E17:K17 E19:F24 I19:K19 G20:K21 E8:L8 K23:K26 E15:K15 E26:J26 C27:J28 K28:K33 C29:E29 H29:J29 E30:J30 G22:J24 C33:D36 E5:L5 E34:J34 F35:K35 E36:K36 F37:G37 I37:K38 C10:C12 D10 I13:K14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abSelected="1" topLeftCell="C4" zoomScale="111" zoomScaleNormal="111" workbookViewId="0">
      <selection activeCell="H10" sqref="H10"/>
    </sheetView>
  </sheetViews>
  <sheetFormatPr defaultColWidth="17.10546875" defaultRowHeight="12.75" x14ac:dyDescent="0.15"/>
  <cols>
    <col min="1" max="1" width="8.4921875" style="1" customWidth="1"/>
    <col min="2" max="2" width="8.9648437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4.15625" style="1" customWidth="1"/>
    <col min="9" max="9" width="12.50390625" style="2" customWidth="1"/>
    <col min="10" max="10" width="12.9765625" style="1" customWidth="1"/>
    <col min="11" max="11" width="13.4453125" style="1" customWidth="1"/>
    <col min="12" max="12" width="14.98046875" style="1" customWidth="1"/>
    <col min="13" max="13" width="8.01953125" style="1" customWidth="1"/>
    <col min="14" max="14" width="18.875" style="1" customWidth="1"/>
    <col min="15" max="15" width="6.839843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5" t="s">
        <v>217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5" ht="12" customHeight="1" x14ac:dyDescent="0.15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6"/>
      <c r="J2" s="368" t="s">
        <v>4</v>
      </c>
      <c r="K2" s="368"/>
      <c r="L2" s="368"/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218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9" t="s">
        <v>29</v>
      </c>
      <c r="H4" s="299" t="s">
        <v>168</v>
      </c>
      <c r="I4" s="119" t="s">
        <v>44</v>
      </c>
      <c r="J4" s="299" t="s">
        <v>29</v>
      </c>
      <c r="K4" s="48" t="s">
        <v>20</v>
      </c>
      <c r="L4" s="27" t="s">
        <v>156</v>
      </c>
      <c r="M4" s="30"/>
      <c r="N4" s="275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45999</v>
      </c>
      <c r="C5" s="299" t="s">
        <v>22</v>
      </c>
      <c r="D5" s="299" t="s">
        <v>22</v>
      </c>
      <c r="E5" s="299" t="s">
        <v>23</v>
      </c>
      <c r="F5" s="353" t="s">
        <v>19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9" t="s">
        <v>48</v>
      </c>
      <c r="H6" s="299" t="s">
        <v>48</v>
      </c>
      <c r="I6" s="32"/>
      <c r="J6" s="48" t="s">
        <v>31</v>
      </c>
      <c r="K6" s="36"/>
      <c r="L6" s="172" t="s">
        <v>156</v>
      </c>
      <c r="M6" s="34"/>
      <c r="N6" s="27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299" t="s">
        <v>22</v>
      </c>
      <c r="G7" s="48" t="s">
        <v>31</v>
      </c>
      <c r="H7" s="353" t="s">
        <v>19</v>
      </c>
      <c r="I7" s="300"/>
      <c r="J7" s="299" t="s">
        <v>29</v>
      </c>
      <c r="K7" s="28"/>
      <c r="L7" s="172" t="s">
        <v>156</v>
      </c>
      <c r="M7" s="34"/>
      <c r="N7" s="27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9" t="s">
        <v>102</v>
      </c>
      <c r="H8" s="299" t="s">
        <v>102</v>
      </c>
      <c r="I8" s="27"/>
      <c r="J8" s="299" t="s">
        <v>44</v>
      </c>
      <c r="K8" s="36"/>
      <c r="L8" s="172" t="s">
        <v>156</v>
      </c>
      <c r="M8" s="34"/>
      <c r="N8" s="27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46003</v>
      </c>
      <c r="C9" s="58" t="s">
        <v>19</v>
      </c>
      <c r="D9" s="58" t="s">
        <v>20</v>
      </c>
      <c r="E9" s="299" t="s">
        <v>44</v>
      </c>
      <c r="F9" s="299" t="s">
        <v>29</v>
      </c>
      <c r="G9" s="299" t="s">
        <v>29</v>
      </c>
      <c r="H9" s="301" t="s">
        <v>48</v>
      </c>
      <c r="I9" s="39"/>
      <c r="J9" s="302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364"/>
      <c r="I10" s="119" t="s">
        <v>23</v>
      </c>
      <c r="J10" s="302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9" t="s">
        <v>29</v>
      </c>
      <c r="H11" s="33" t="s">
        <v>27</v>
      </c>
      <c r="I11" s="119" t="s">
        <v>102</v>
      </c>
      <c r="J11" s="299" t="s">
        <v>29</v>
      </c>
      <c r="K11" s="28"/>
      <c r="L11" s="180" t="s">
        <v>219</v>
      </c>
      <c r="M11" s="34"/>
      <c r="N11" s="34" t="s">
        <v>220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299" t="s">
        <v>22</v>
      </c>
      <c r="G12" s="299" t="s">
        <v>28</v>
      </c>
      <c r="H12" s="299" t="s">
        <v>28</v>
      </c>
      <c r="I12" s="32"/>
      <c r="J12" s="299" t="s">
        <v>44</v>
      </c>
      <c r="K12" s="33"/>
      <c r="L12" s="180" t="s">
        <v>219</v>
      </c>
      <c r="M12" s="30"/>
      <c r="N12" s="34" t="s">
        <v>220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46007</v>
      </c>
      <c r="C13" s="299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219</v>
      </c>
      <c r="M13" s="30"/>
      <c r="N13" s="34" t="s">
        <v>221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299" t="s">
        <v>48</v>
      </c>
      <c r="H14" s="299" t="s">
        <v>48</v>
      </c>
      <c r="I14" s="32"/>
      <c r="J14" s="299" t="s">
        <v>29</v>
      </c>
      <c r="K14" s="28"/>
      <c r="L14" s="180" t="s">
        <v>219</v>
      </c>
      <c r="M14" s="30"/>
      <c r="N14" s="34" t="s">
        <v>221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46009</v>
      </c>
      <c r="C15" s="48" t="s">
        <v>36</v>
      </c>
      <c r="D15" s="48" t="s">
        <v>36</v>
      </c>
      <c r="E15" s="353" t="s">
        <v>19</v>
      </c>
      <c r="F15" s="299" t="s">
        <v>44</v>
      </c>
      <c r="G15" s="299" t="s">
        <v>44</v>
      </c>
      <c r="H15" s="299" t="s">
        <v>23</v>
      </c>
      <c r="I15" s="32"/>
      <c r="J15" s="299" t="s">
        <v>22</v>
      </c>
      <c r="K15" s="28"/>
      <c r="L15" s="180" t="s">
        <v>219</v>
      </c>
      <c r="M15" s="30"/>
      <c r="N15" s="34" t="s">
        <v>220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2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9" t="s">
        <v>48</v>
      </c>
      <c r="I17" s="119" t="s">
        <v>44</v>
      </c>
      <c r="J17" s="302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46012</v>
      </c>
      <c r="C18" s="299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299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46013</v>
      </c>
      <c r="C19" s="33" t="s">
        <v>34</v>
      </c>
      <c r="D19" s="33" t="s">
        <v>34</v>
      </c>
      <c r="E19" s="353" t="s">
        <v>19</v>
      </c>
      <c r="F19" s="299" t="s">
        <v>102</v>
      </c>
      <c r="G19" s="33" t="s">
        <v>42</v>
      </c>
      <c r="H19" s="33" t="s">
        <v>42</v>
      </c>
      <c r="I19" s="27"/>
      <c r="J19" s="299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9" t="s">
        <v>23</v>
      </c>
      <c r="G20" s="299" t="s">
        <v>23</v>
      </c>
      <c r="H20" s="142" t="s">
        <v>21</v>
      </c>
      <c r="I20" s="303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46015</v>
      </c>
      <c r="C21" s="33" t="s">
        <v>27</v>
      </c>
      <c r="D21" s="33" t="s">
        <v>27</v>
      </c>
      <c r="E21" s="299" t="s">
        <v>32</v>
      </c>
      <c r="F21" s="299" t="s">
        <v>102</v>
      </c>
      <c r="G21" s="299" t="s">
        <v>102</v>
      </c>
      <c r="H21" s="48" t="s">
        <v>28</v>
      </c>
      <c r="I21" s="193"/>
      <c r="J21" s="299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37" t="s">
        <v>35</v>
      </c>
      <c r="B22" s="38">
        <v>46016</v>
      </c>
      <c r="C22" s="40" t="s">
        <v>38</v>
      </c>
      <c r="D22" s="40" t="s">
        <v>38</v>
      </c>
      <c r="E22" s="299" t="s">
        <v>32</v>
      </c>
      <c r="F22" s="54" t="s">
        <v>42</v>
      </c>
      <c r="G22" s="54" t="s">
        <v>42</v>
      </c>
      <c r="H22" s="350" t="s">
        <v>197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46017</v>
      </c>
      <c r="C23" s="54" t="s">
        <v>34</v>
      </c>
      <c r="D23" s="54" t="s">
        <v>34</v>
      </c>
      <c r="E23" s="299" t="s">
        <v>22</v>
      </c>
      <c r="F23" s="299" t="s">
        <v>48</v>
      </c>
      <c r="G23" s="299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46018</v>
      </c>
      <c r="C24" s="58" t="s">
        <v>36</v>
      </c>
      <c r="D24" s="58" t="s">
        <v>36</v>
      </c>
      <c r="E24" s="299" t="s">
        <v>32</v>
      </c>
      <c r="F24" s="299" t="s">
        <v>29</v>
      </c>
      <c r="G24" s="299" t="s">
        <v>29</v>
      </c>
      <c r="H24" s="350" t="s">
        <v>197</v>
      </c>
      <c r="I24" s="291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4"/>
      <c r="T24" s="3"/>
    </row>
    <row r="25" spans="1:24" ht="12.75" customHeight="1" x14ac:dyDescent="0.15">
      <c r="A25" s="21" t="s">
        <v>18</v>
      </c>
      <c r="B25" s="22">
        <v>46019</v>
      </c>
      <c r="C25" s="48" t="s">
        <v>20</v>
      </c>
      <c r="D25" s="48" t="s">
        <v>20</v>
      </c>
      <c r="E25" s="299" t="s">
        <v>44</v>
      </c>
      <c r="F25" s="299" t="s">
        <v>32</v>
      </c>
      <c r="G25" s="299" t="s">
        <v>32</v>
      </c>
      <c r="H25" s="299" t="s">
        <v>23</v>
      </c>
      <c r="I25" s="291" t="s">
        <v>168</v>
      </c>
      <c r="J25" s="28"/>
      <c r="K25" s="28"/>
      <c r="L25" s="305" t="s">
        <v>222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 x14ac:dyDescent="0.15">
      <c r="A26" s="21" t="s">
        <v>26</v>
      </c>
      <c r="B26" s="22">
        <v>46020</v>
      </c>
      <c r="C26" s="255" t="s">
        <v>34</v>
      </c>
      <c r="D26" s="255" t="s">
        <v>34</v>
      </c>
      <c r="E26" s="299" t="s">
        <v>23</v>
      </c>
      <c r="F26" s="299" t="s">
        <v>44</v>
      </c>
      <c r="G26" s="48" t="s">
        <v>28</v>
      </c>
      <c r="H26" s="48" t="s">
        <v>28</v>
      </c>
      <c r="I26" s="32"/>
      <c r="J26" s="299" t="s">
        <v>22</v>
      </c>
      <c r="K26" s="36"/>
      <c r="L26" s="305" t="s">
        <v>222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 x14ac:dyDescent="0.15">
      <c r="A27" s="21" t="s">
        <v>30</v>
      </c>
      <c r="B27" s="22">
        <v>46021</v>
      </c>
      <c r="C27" s="48" t="s">
        <v>36</v>
      </c>
      <c r="D27" s="48" t="s">
        <v>36</v>
      </c>
      <c r="E27" s="299" t="s">
        <v>32</v>
      </c>
      <c r="F27" s="299" t="s">
        <v>168</v>
      </c>
      <c r="G27" s="299" t="s">
        <v>168</v>
      </c>
      <c r="H27" s="299" t="s">
        <v>22</v>
      </c>
      <c r="I27" s="27"/>
      <c r="J27" s="299" t="s">
        <v>29</v>
      </c>
      <c r="K27" s="64"/>
      <c r="L27" s="305" t="s">
        <v>222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 x14ac:dyDescent="0.15">
      <c r="A28" s="21" t="s">
        <v>33</v>
      </c>
      <c r="B28" s="22">
        <v>46022</v>
      </c>
      <c r="C28" s="48" t="s">
        <v>20</v>
      </c>
      <c r="D28" s="48" t="s">
        <v>20</v>
      </c>
      <c r="E28" s="299" t="s">
        <v>23</v>
      </c>
      <c r="F28" s="299" t="s">
        <v>102</v>
      </c>
      <c r="G28" s="299" t="s">
        <v>102</v>
      </c>
      <c r="H28" s="299" t="s">
        <v>32</v>
      </c>
      <c r="I28" s="48"/>
      <c r="J28" s="299" t="s">
        <v>29</v>
      </c>
      <c r="K28" s="48"/>
      <c r="L28" s="305" t="s">
        <v>222</v>
      </c>
      <c r="M28" s="276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37" t="s">
        <v>35</v>
      </c>
      <c r="B29" s="38">
        <v>46023</v>
      </c>
      <c r="C29" s="58" t="s">
        <v>36</v>
      </c>
      <c r="D29" s="58" t="s">
        <v>36</v>
      </c>
      <c r="E29" s="299" t="s">
        <v>168</v>
      </c>
      <c r="F29" s="299" t="s">
        <v>22</v>
      </c>
      <c r="G29" s="299" t="s">
        <v>22</v>
      </c>
      <c r="H29" s="299" t="s">
        <v>44</v>
      </c>
      <c r="I29" s="39"/>
      <c r="J29" s="39"/>
      <c r="K29" s="306"/>
      <c r="L29" s="307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46024</v>
      </c>
      <c r="C30" s="58" t="s">
        <v>20</v>
      </c>
      <c r="D30" s="58" t="s">
        <v>20</v>
      </c>
      <c r="E30" s="299" t="s">
        <v>44</v>
      </c>
      <c r="F30" s="299" t="s">
        <v>23</v>
      </c>
      <c r="G30" s="299" t="s">
        <v>23</v>
      </c>
      <c r="H30" s="350" t="s">
        <v>197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299" t="s">
        <v>32</v>
      </c>
      <c r="G31" s="299" t="s">
        <v>32</v>
      </c>
      <c r="H31" s="308" t="s">
        <v>36</v>
      </c>
      <c r="I31" s="291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 x14ac:dyDescent="0.15">
      <c r="A33" s="368" t="s">
        <v>53</v>
      </c>
      <c r="B33" s="368"/>
      <c r="C33" s="368"/>
      <c r="D33" s="368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9" t="s">
        <v>57</v>
      </c>
      <c r="M35" s="369"/>
      <c r="N35" s="78"/>
      <c r="P35" s="3"/>
      <c r="Q35" s="3"/>
      <c r="R35" s="3"/>
      <c r="S35" s="3"/>
    </row>
    <row r="36" spans="1:21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64</v>
      </c>
      <c r="J36" s="362" t="s">
        <v>65</v>
      </c>
      <c r="K36" s="362" t="s">
        <v>66</v>
      </c>
      <c r="L36" s="270" t="s">
        <v>67</v>
      </c>
      <c r="M36" s="270" t="s">
        <v>68</v>
      </c>
    </row>
    <row r="37" spans="1:21" ht="12.75" customHeight="1" x14ac:dyDescent="0.15">
      <c r="A37" s="73"/>
      <c r="B37" s="73"/>
      <c r="C37" s="356" t="s">
        <v>38</v>
      </c>
      <c r="D37" s="357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 x14ac:dyDescent="0.15">
      <c r="A38" s="73"/>
      <c r="B38" s="73"/>
      <c r="C38" s="356" t="s">
        <v>36</v>
      </c>
      <c r="D38" s="357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 x14ac:dyDescent="0.15">
      <c r="A39" s="73"/>
      <c r="B39" s="73"/>
      <c r="C39" s="356" t="s">
        <v>21</v>
      </c>
      <c r="D39" s="358">
        <v>0.5</v>
      </c>
      <c r="E39" s="84">
        <f>COUNTIF($C$4:$C$31,"CAUVY")+COUNTIF($H$4:$H$31,"CAUVY")+COUNTIF($F$4:$F$31,"CAUVY")+COUNTIF($J$4:$J$31,"CAUVY")</f>
        <v>6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96</v>
      </c>
      <c r="M39" s="238">
        <f t="shared" si="2"/>
        <v>33.599999999999994</v>
      </c>
    </row>
    <row r="40" spans="1:21" ht="12" customHeight="1" x14ac:dyDescent="0.15">
      <c r="A40" s="73"/>
      <c r="B40" s="73"/>
      <c r="C40" s="356" t="s">
        <v>31</v>
      </c>
      <c r="D40" s="358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>
        <v>3</v>
      </c>
      <c r="J40" s="85">
        <f t="shared" si="0"/>
        <v>21.6</v>
      </c>
      <c r="K40" s="86">
        <f t="shared" si="1"/>
        <v>88.920000000000016</v>
      </c>
      <c r="L40" s="86">
        <f>E40*10+F40*14+G40*12</f>
        <v>118</v>
      </c>
      <c r="M40" s="238">
        <f t="shared" si="2"/>
        <v>29.079999999999984</v>
      </c>
    </row>
    <row r="41" spans="1:21" ht="12" customHeight="1" x14ac:dyDescent="0.15">
      <c r="A41" s="3"/>
      <c r="B41" s="3"/>
      <c r="C41" s="321" t="s">
        <v>28</v>
      </c>
      <c r="D41" s="359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 x14ac:dyDescent="0.15">
      <c r="A42" s="3"/>
      <c r="B42" s="3"/>
      <c r="C42" s="321" t="s">
        <v>42</v>
      </c>
      <c r="D42" s="359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 x14ac:dyDescent="0.15">
      <c r="A43" s="3"/>
      <c r="B43" s="3"/>
      <c r="C43" s="321" t="s">
        <v>47</v>
      </c>
      <c r="D43" s="35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>
        <v>5</v>
      </c>
      <c r="J43" s="85">
        <f t="shared" si="0"/>
        <v>11.7</v>
      </c>
      <c r="K43" s="86">
        <f t="shared" si="1"/>
        <v>31.200000000000003</v>
      </c>
      <c r="L43" s="86">
        <f>E43*10+F43*14+G43*12</f>
        <v>84</v>
      </c>
      <c r="M43" s="238">
        <f t="shared" si="2"/>
        <v>52.8</v>
      </c>
      <c r="N43" s="3"/>
    </row>
    <row r="44" spans="1:21" ht="12.75" customHeight="1" x14ac:dyDescent="0.15">
      <c r="A44" s="3"/>
      <c r="B44" s="3"/>
      <c r="C44" s="321" t="s">
        <v>20</v>
      </c>
      <c r="D44" s="359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COUNTIF($J$4:$J$31,"TORREGROSSA")</f>
        <v>1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116</v>
      </c>
      <c r="M44" s="238">
        <f t="shared" si="2"/>
        <v>14.599999999999994</v>
      </c>
      <c r="N44" s="3"/>
    </row>
    <row r="45" spans="1:21" ht="12.75" customHeight="1" x14ac:dyDescent="0.15">
      <c r="A45" s="3"/>
      <c r="B45" s="3"/>
      <c r="C45" s="321" t="s">
        <v>19</v>
      </c>
      <c r="D45" s="359">
        <v>0.4</v>
      </c>
      <c r="E45" s="84">
        <f>COUNTIF($C$4:$C$31,"BALLOT")+COUNTIF($F$4:$F$31,"BALLOT")+COUNTIF($H$4:$H$31,"BALLOT")+COUNTIF($J$4:$J$31,"BALLOT")</f>
        <v>3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>
        <v>5</v>
      </c>
      <c r="J45" s="85">
        <f t="shared" si="0"/>
        <v>9.3600000000000012</v>
      </c>
      <c r="K45" s="86">
        <f t="shared" si="1"/>
        <v>17.160000000000004</v>
      </c>
      <c r="L45" s="86">
        <f t="shared" ref="L45:L56" si="3">E45*10+F45*14+G45*12</f>
        <v>54</v>
      </c>
      <c r="M45" s="240">
        <f t="shared" si="2"/>
        <v>36.839999999999996</v>
      </c>
      <c r="N45" s="3"/>
    </row>
    <row r="46" spans="1:21" ht="12" customHeight="1" x14ac:dyDescent="0.15">
      <c r="A46" s="3"/>
      <c r="B46" s="3"/>
      <c r="C46" s="321" t="s">
        <v>37</v>
      </c>
      <c r="D46" s="359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3</v>
      </c>
      <c r="J46" s="85">
        <f t="shared" si="0"/>
        <v>10.8</v>
      </c>
      <c r="K46" s="86">
        <f t="shared" si="1"/>
        <v>32.760000000000005</v>
      </c>
      <c r="L46" s="86">
        <f t="shared" si="3"/>
        <v>40</v>
      </c>
      <c r="M46" s="240">
        <f t="shared" si="2"/>
        <v>7.2399999999999949</v>
      </c>
      <c r="N46" s="3"/>
    </row>
    <row r="47" spans="1:21" ht="12" customHeight="1" x14ac:dyDescent="0.15">
      <c r="A47" s="3"/>
      <c r="B47" s="3"/>
      <c r="C47" s="321" t="s">
        <v>27</v>
      </c>
      <c r="D47" s="359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 x14ac:dyDescent="0.15">
      <c r="A48" s="3"/>
      <c r="B48" s="3"/>
      <c r="C48" s="321" t="s">
        <v>34</v>
      </c>
      <c r="D48" s="359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 x14ac:dyDescent="0.15">
      <c r="A49" s="3"/>
      <c r="B49" s="3"/>
      <c r="C49" s="321" t="s">
        <v>22</v>
      </c>
      <c r="D49" s="359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 x14ac:dyDescent="0.15">
      <c r="A50" s="3"/>
      <c r="B50" s="3"/>
      <c r="C50" s="321" t="s">
        <v>29</v>
      </c>
      <c r="D50" s="359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 x14ac:dyDescent="0.15">
      <c r="A51" s="3"/>
      <c r="B51" s="3"/>
      <c r="C51" s="321" t="s">
        <v>48</v>
      </c>
      <c r="D51" s="359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>
        <v>4</v>
      </c>
      <c r="J51" s="85">
        <f t="shared" si="0"/>
        <v>25.2</v>
      </c>
      <c r="K51" s="86">
        <f t="shared" si="1"/>
        <v>109.2</v>
      </c>
      <c r="L51" s="86">
        <f t="shared" si="3"/>
        <v>112</v>
      </c>
      <c r="M51" s="240">
        <f t="shared" si="2"/>
        <v>2.7999999999999972</v>
      </c>
    </row>
    <row r="52" spans="1:15" ht="12" customHeight="1" x14ac:dyDescent="0.15">
      <c r="A52" s="3"/>
      <c r="B52" s="3"/>
      <c r="C52" s="321" t="s">
        <v>44</v>
      </c>
      <c r="D52" s="359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 x14ac:dyDescent="0.15">
      <c r="A53" s="3"/>
      <c r="B53" s="3"/>
      <c r="C53" s="321" t="s">
        <v>23</v>
      </c>
      <c r="D53" s="359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1</v>
      </c>
      <c r="J53" s="85">
        <f t="shared" si="0"/>
        <v>30.599999999999998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</row>
    <row r="54" spans="1:15" ht="12" customHeight="1" x14ac:dyDescent="0.15">
      <c r="A54" s="3"/>
      <c r="B54" s="3"/>
      <c r="C54" s="321" t="s">
        <v>32</v>
      </c>
      <c r="D54" s="359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>
        <v>3</v>
      </c>
      <c r="J54" s="85">
        <f t="shared" si="0"/>
        <v>27</v>
      </c>
      <c r="K54" s="86">
        <f t="shared" si="1"/>
        <v>117</v>
      </c>
      <c r="L54" s="86">
        <f t="shared" si="3"/>
        <v>206</v>
      </c>
      <c r="M54" s="238">
        <f t="shared" si="2"/>
        <v>89</v>
      </c>
    </row>
    <row r="55" spans="1:15" ht="12" customHeight="1" x14ac:dyDescent="0.15">
      <c r="A55" s="3"/>
      <c r="B55" s="72"/>
      <c r="C55" s="320" t="s">
        <v>102</v>
      </c>
      <c r="D55" s="359">
        <v>1</v>
      </c>
      <c r="E55" s="84">
        <f>COUNTIF($C$4:$C$31,"TODY")+COUNTIF($F$4:$F$31,"TODY")+COUNTIF($H$4:$H$31,"TODY")+COUNTIF($I$4:$I$31,"TODY")+H65+COUNTIF($J$4:$J$31,"TODY")</f>
        <v>8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0"/>
        <v>27</v>
      </c>
      <c r="K55" s="86">
        <f t="shared" si="1"/>
        <v>117</v>
      </c>
      <c r="L55" s="86">
        <f t="shared" si="3"/>
        <v>150</v>
      </c>
      <c r="M55" s="238">
        <f t="shared" si="2"/>
        <v>33</v>
      </c>
    </row>
    <row r="56" spans="1:15" ht="12" customHeight="1" x14ac:dyDescent="0.2">
      <c r="A56" s="3"/>
      <c r="B56" s="96"/>
      <c r="C56" s="322" t="s">
        <v>168</v>
      </c>
      <c r="D56" s="359">
        <v>1</v>
      </c>
      <c r="E56" s="84">
        <f>COUNTIF($C$4:$C$31,"RODRIGUE")+COUNTIF($F$4:$F$31,"RODRIGUE")+COUNTIF($H$4:$H$31,"RODRIGUE")+COUNTIF($I$4:$I$31,"RODRIGUE")+H66+COUNTIF($J$4:$J$31,"RODRIGUE")</f>
        <v>10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27</v>
      </c>
      <c r="K56" s="86">
        <f t="shared" si="1"/>
        <v>117</v>
      </c>
      <c r="L56" s="86">
        <f t="shared" si="3"/>
        <v>154</v>
      </c>
      <c r="M56" s="238">
        <f t="shared" si="2"/>
        <v>37</v>
      </c>
      <c r="N56" s="57"/>
      <c r="O56" s="57"/>
    </row>
    <row r="57" spans="1:15" ht="12" customHeight="1" x14ac:dyDescent="0.15">
      <c r="A57" s="3"/>
      <c r="B57" s="73"/>
      <c r="C57" s="268" t="s">
        <v>66</v>
      </c>
      <c r="D57" s="160" t="s">
        <v>67</v>
      </c>
      <c r="E57" s="362" t="s">
        <v>68</v>
      </c>
      <c r="F57" s="72"/>
      <c r="G57" s="96"/>
      <c r="H57" s="309"/>
      <c r="I57" s="309"/>
      <c r="J57" s="309"/>
      <c r="K57" s="309"/>
      <c r="L57" s="57"/>
      <c r="M57" s="57"/>
      <c r="N57" s="57"/>
      <c r="O57" s="57"/>
    </row>
    <row r="58" spans="1:15" ht="12" customHeight="1" x14ac:dyDescent="0.15">
      <c r="A58" s="370" t="s">
        <v>38</v>
      </c>
      <c r="B58" s="370"/>
      <c r="C58" s="272">
        <f>SEPTEMBRE!K37+OCTOBRE!K37+NOVEMBRE!K44+DECEMBRE!K37</f>
        <v>569.4</v>
      </c>
      <c r="D58" s="102">
        <f>SEPTEMBRE!L37+OCTOBRE!L37+NOVEMBRE!L44+DECEMBRE!L37</f>
        <v>588</v>
      </c>
      <c r="E58" s="354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 x14ac:dyDescent="0.15">
      <c r="A59" s="370" t="s">
        <v>36</v>
      </c>
      <c r="B59" s="370"/>
      <c r="C59" s="272">
        <f>SEPTEMBRE!K38+OCTOBRE!K38+NOVEMBRE!K45+DECEMBRE!K38</f>
        <v>522.6</v>
      </c>
      <c r="D59" s="102">
        <f>SEPTEMBRE!L38+OCTOBRE!L38+NOVEMBRE!L45+DECEMBRE!L38</f>
        <v>654</v>
      </c>
      <c r="E59" s="355">
        <f>D59-C59</f>
        <v>131.39999999999998</v>
      </c>
      <c r="F59" s="163">
        <f t="shared" si="4"/>
        <v>5.4749999999999988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 x14ac:dyDescent="0.15">
      <c r="A60" s="370" t="s">
        <v>21</v>
      </c>
      <c r="B60" s="370"/>
      <c r="C60" s="272">
        <f>SEPTEMBRE!K39+OCTOBRE!K39+NOVEMBRE!K46+DECEMBRE!K39</f>
        <v>312</v>
      </c>
      <c r="D60" s="102">
        <f>SEPTEMBRE!L39+OCTOBRE!L39+NOVEMBRE!L46+DECEMBRE!L39</f>
        <v>358</v>
      </c>
      <c r="E60" s="355">
        <f>D60-C60</f>
        <v>46</v>
      </c>
      <c r="F60" s="163">
        <f t="shared" si="4"/>
        <v>1.9166666666666667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 x14ac:dyDescent="0.15">
      <c r="A61" s="370" t="s">
        <v>31</v>
      </c>
      <c r="B61" s="370"/>
      <c r="C61" s="272">
        <f>SEPTEMBRE!K40+OCTOBRE!K40+NOVEMBRE!K47+DECEMBRE!K40</f>
        <v>418.08</v>
      </c>
      <c r="D61" s="102">
        <f>SEPTEMBRE!L40+OCTOBRE!L40+NOVEMBRE!L47+DECEMBRE!L40</f>
        <v>604</v>
      </c>
      <c r="E61" s="355">
        <f>D61-C61</f>
        <v>185.92000000000002</v>
      </c>
      <c r="F61" s="163">
        <f t="shared" si="4"/>
        <v>7.746666666666667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 x14ac:dyDescent="0.15">
      <c r="A62" s="371" t="s">
        <v>28</v>
      </c>
      <c r="B62" s="371"/>
      <c r="C62" s="272">
        <f>SEPTEMBRE!K41+OCTOBRE!K41+NOVEMBRE!K48+DECEMBRE!K41</f>
        <v>383.76</v>
      </c>
      <c r="D62" s="102">
        <f>SEPTEMBRE!L41+OCTOBRE!L41+NOVEMBRE!L48+DECEMBRE!L41</f>
        <v>420</v>
      </c>
      <c r="E62" s="355">
        <f>D62-C62</f>
        <v>36.240000000000009</v>
      </c>
      <c r="F62" s="163">
        <f t="shared" si="4"/>
        <v>1.5100000000000005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 x14ac:dyDescent="0.15">
      <c r="A63" s="371" t="s">
        <v>42</v>
      </c>
      <c r="B63" s="371"/>
      <c r="C63" s="272">
        <f>SEPTEMBRE!K42+OCTOBRE!K42+NOVEMBRE!K49+DECEMBRE!K42</f>
        <v>491.4</v>
      </c>
      <c r="D63" s="102">
        <f>SEPTEMBRE!L42+OCTOBRE!L42+NOVEMBRE!L49+DECEMBRE!L42</f>
        <v>526</v>
      </c>
      <c r="E63" s="355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 x14ac:dyDescent="0.15">
      <c r="A64" s="371" t="s">
        <v>47</v>
      </c>
      <c r="B64" s="371"/>
      <c r="C64" s="272">
        <f>SEPTEMBRE!K43+OCTOBRE!K43+NOVEMBRE!K50+DECEMBRE!K43</f>
        <v>280.8</v>
      </c>
      <c r="D64" s="102">
        <f>SEPTEMBRE!L43+OCTOBRE!L43+NOVEMBRE!L50+DECEMBRE!L43</f>
        <v>288</v>
      </c>
      <c r="E64" s="355">
        <f t="shared" ref="E64:E77" si="5">D64-C64</f>
        <v>7.1999999999999886</v>
      </c>
      <c r="F64" s="163">
        <f t="shared" si="4"/>
        <v>0.29999999999999954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 x14ac:dyDescent="0.15">
      <c r="A65" s="371" t="s">
        <v>20</v>
      </c>
      <c r="B65" s="371"/>
      <c r="C65" s="272">
        <f>SEPTEMBRE!K44+OCTOBRE!K44+NOVEMBRE!K51+DECEMBRE!K44</f>
        <v>499.19999999999993</v>
      </c>
      <c r="D65" s="102">
        <f>SEPTEMBRE!L44+OCTOBRE!L44+NOVEMBRE!L51+DECEMBRE!L44</f>
        <v>568</v>
      </c>
      <c r="E65" s="355">
        <f t="shared" si="5"/>
        <v>68.800000000000068</v>
      </c>
      <c r="F65" s="163">
        <f t="shared" si="4"/>
        <v>2.8666666666666694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 x14ac:dyDescent="0.2">
      <c r="A66" s="371" t="s">
        <v>19</v>
      </c>
      <c r="B66" s="371"/>
      <c r="C66" s="272">
        <f>SEPTEMBRE!K45+OCTOBRE!K45+NOVEMBRE!K52+DECEMBRE!K45</f>
        <v>216.84</v>
      </c>
      <c r="D66" s="102">
        <f>SEPTEMBRE!L45+OCTOBRE!L45+NOVEMBRE!L52+DECEMBRE!L45</f>
        <v>224</v>
      </c>
      <c r="E66" s="355">
        <f t="shared" si="5"/>
        <v>7.1599999999999966</v>
      </c>
      <c r="F66" s="163">
        <f t="shared" si="4"/>
        <v>0.29833333333333317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 x14ac:dyDescent="0.15">
      <c r="A67" s="371" t="s">
        <v>37</v>
      </c>
      <c r="B67" s="371"/>
      <c r="C67" s="272">
        <f>SEPTEMBRE!K46+OCTOBRE!K46+NOVEMBRE!K53+DECEMBRE!K46</f>
        <v>232.44</v>
      </c>
      <c r="D67" s="102">
        <f>SEPTEMBRE!L46+OCTOBRE!L46+NOVEMBRE!L53+DECEMBRE!L46</f>
        <v>240</v>
      </c>
      <c r="E67" s="355">
        <f t="shared" si="5"/>
        <v>7.5600000000000023</v>
      </c>
      <c r="F67" s="163">
        <f t="shared" si="4"/>
        <v>0.31500000000000011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 x14ac:dyDescent="0.15">
      <c r="A68" s="371" t="s">
        <v>27</v>
      </c>
      <c r="B68" s="371"/>
      <c r="C68" s="272">
        <f>SEPTEMBRE!K47+OCTOBRE!K47+NOVEMBRE!K54+DECEMBRE!K47</f>
        <v>455.52000000000004</v>
      </c>
      <c r="D68" s="102">
        <f>SEPTEMBRE!L47+OCTOBRE!L47+NOVEMBRE!L54+DECEMBRE!L47</f>
        <v>578</v>
      </c>
      <c r="E68" s="355">
        <f t="shared" si="5"/>
        <v>122.47999999999996</v>
      </c>
      <c r="F68" s="163">
        <f t="shared" si="4"/>
        <v>5.1033333333333317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 x14ac:dyDescent="0.15">
      <c r="A69" s="371" t="s">
        <v>34</v>
      </c>
      <c r="B69" s="371"/>
      <c r="C69" s="272">
        <f>SEPTEMBRE!K48+OCTOBRE!K48+NOVEMBRE!K55+DECEMBRE!K48</f>
        <v>374.4</v>
      </c>
      <c r="D69" s="102">
        <f>SEPTEMBRE!L48+OCTOBRE!L48+NOVEMBRE!L55+DECEMBRE!L48</f>
        <v>456</v>
      </c>
      <c r="E69" s="355">
        <f t="shared" si="5"/>
        <v>81.600000000000023</v>
      </c>
      <c r="F69" s="163">
        <f t="shared" si="4"/>
        <v>3.4000000000000008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 x14ac:dyDescent="0.15">
      <c r="A70" s="371" t="s">
        <v>22</v>
      </c>
      <c r="B70" s="371"/>
      <c r="C70" s="272">
        <f>SEPTEMBRE!K49+OCTOBRE!K49+NOVEMBRE!K56+DECEMBRE!K49</f>
        <v>585</v>
      </c>
      <c r="D70" s="102">
        <f>SEPTEMBRE!L49+OCTOBRE!L49+NOVEMBRE!L56+DECEMBRE!L49</f>
        <v>618</v>
      </c>
      <c r="E70" s="355">
        <f t="shared" si="5"/>
        <v>33</v>
      </c>
      <c r="F70" s="163">
        <f t="shared" si="4"/>
        <v>1.375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 x14ac:dyDescent="0.15">
      <c r="A71" s="371" t="s">
        <v>29</v>
      </c>
      <c r="B71" s="371"/>
      <c r="C71" s="272">
        <f>SEPTEMBRE!K50+OCTOBRE!K50+NOVEMBRE!K57+DECEMBRE!K50</f>
        <v>561.6</v>
      </c>
      <c r="D71" s="102">
        <f>SEPTEMBRE!L50+OCTOBRE!L50+NOVEMBRE!L57+DECEMBRE!L50</f>
        <v>568</v>
      </c>
      <c r="E71" s="355">
        <f t="shared" si="5"/>
        <v>6.3999999999999773</v>
      </c>
      <c r="F71" s="163">
        <f t="shared" si="4"/>
        <v>0.26666666666666572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71" t="s">
        <v>48</v>
      </c>
      <c r="B72" s="371"/>
      <c r="C72" s="272">
        <f>SEPTEMBRE!K51+OCTOBRE!K51+NOVEMBRE!K58+DECEMBRE!K51</f>
        <v>499.2</v>
      </c>
      <c r="D72" s="102">
        <f>SEPTEMBRE!L51+OCTOBRE!L51+NOVEMBRE!L58+DECEMBRE!L51</f>
        <v>512</v>
      </c>
      <c r="E72" s="355">
        <f t="shared" si="5"/>
        <v>12.800000000000011</v>
      </c>
      <c r="F72" s="163">
        <f t="shared" si="4"/>
        <v>0.53333333333333377</v>
      </c>
      <c r="G72" s="161" t="s">
        <v>36</v>
      </c>
      <c r="H72" s="167">
        <v>100</v>
      </c>
      <c r="I72" s="86">
        <v>43.27</v>
      </c>
      <c r="J72" s="86">
        <f>AOUT!J75+SEPTEMBRE!I38+OCTOBRE!I38+NOVEMBRE!I45+DECEMBRE!I38</f>
        <v>31.5</v>
      </c>
      <c r="K72" s="86">
        <f t="shared" si="7"/>
        <v>11.770000000000003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71" t="s">
        <v>44</v>
      </c>
      <c r="B73" s="371"/>
      <c r="C73" s="272">
        <f>SEPTEMBRE!K52+OCTOBRE!K52+NOVEMBRE!K59+DECEMBRE!K52</f>
        <v>639.6</v>
      </c>
      <c r="D73" s="102">
        <f>SEPTEMBRE!L52+OCTOBRE!L52+NOVEMBRE!L59+DECEMBRE!L52</f>
        <v>560</v>
      </c>
      <c r="E73" s="240">
        <f t="shared" si="5"/>
        <v>-79.600000000000023</v>
      </c>
      <c r="F73" s="163">
        <f t="shared" si="4"/>
        <v>-3.3166666666666678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71" t="s">
        <v>23</v>
      </c>
      <c r="B74" s="371"/>
      <c r="C74" s="272">
        <f>SEPTEMBRE!K53+OCTOBRE!K53+NOVEMBRE!K60+DECEMBRE!K53</f>
        <v>530.4</v>
      </c>
      <c r="D74" s="102">
        <f>SEPTEMBRE!L53+OCTOBRE!L53+NOVEMBRE!L60+DECEMBRE!L53</f>
        <v>534</v>
      </c>
      <c r="E74" s="355">
        <f t="shared" si="5"/>
        <v>3.6000000000000227</v>
      </c>
      <c r="F74" s="163">
        <f t="shared" si="4"/>
        <v>0.15000000000000094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35.200000000000003</v>
      </c>
      <c r="K74" s="86">
        <f t="shared" si="7"/>
        <v>0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71" t="s">
        <v>32</v>
      </c>
      <c r="B75" s="371"/>
      <c r="C75" s="272">
        <f>SEPTEMBRE!K54+OCTOBRE!K54+NOVEMBRE!K61+DECEMBRE!K54</f>
        <v>538.19999999999993</v>
      </c>
      <c r="D75" s="102">
        <f>SEPTEMBRE!L54+OCTOBRE!L54+NOVEMBRE!L61+DECEMBRE!L54</f>
        <v>750</v>
      </c>
      <c r="E75" s="355">
        <f t="shared" si="5"/>
        <v>211.80000000000007</v>
      </c>
      <c r="F75" s="163">
        <f t="shared" si="4"/>
        <v>8.8250000000000028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71" t="s">
        <v>102</v>
      </c>
      <c r="B76" s="371"/>
      <c r="C76" s="272">
        <f>SEPTEMBRE!K55+OCTOBRE!K55+NOVEMBRE!K62+DECEMBRE!K55</f>
        <v>546</v>
      </c>
      <c r="D76" s="102">
        <f>SEPTEMBRE!L55+OCTOBRE!L55+NOVEMBRE!L62+DECEMBRE!L55</f>
        <v>628</v>
      </c>
      <c r="E76" s="355">
        <f t="shared" si="5"/>
        <v>82</v>
      </c>
      <c r="F76" s="163">
        <f t="shared" si="4"/>
        <v>3.4166666666666665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2">
      <c r="A77" s="372" t="s">
        <v>168</v>
      </c>
      <c r="B77" s="372"/>
      <c r="C77" s="272">
        <f>SEPTEMBRE!K56+OCTOBRE!K56+NOVEMBRE!K63+DECEMBRE!K56</f>
        <v>546</v>
      </c>
      <c r="D77" s="102">
        <f>SEPTEMBRE!L56+OCTOBRE!L56+NOVEMBRE!L63+DECEMBRE!L56</f>
        <v>616</v>
      </c>
      <c r="E77" s="355">
        <f t="shared" si="5"/>
        <v>70</v>
      </c>
      <c r="F77" s="163">
        <f t="shared" si="4"/>
        <v>2.9166666666666665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7</v>
      </c>
      <c r="K77" s="86">
        <f t="shared" si="7"/>
        <v>15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44</v>
      </c>
      <c r="K78" s="86">
        <f t="shared" si="7"/>
        <v>0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10.199999999999999</v>
      </c>
      <c r="K79" s="86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9.4</v>
      </c>
      <c r="K80" s="86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24</v>
      </c>
      <c r="K85" s="86">
        <f t="shared" si="7"/>
        <v>20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32</v>
      </c>
      <c r="K87" s="86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258" t="s">
        <v>32</v>
      </c>
      <c r="H88" s="323">
        <v>100</v>
      </c>
      <c r="I88" s="324">
        <f t="shared" si="6"/>
        <v>44</v>
      </c>
      <c r="J88" s="324">
        <f>AOUT!J91+SEPTEMBRE!I54+OCTOBRE!I54+NOVEMBRE!I61+DECEMBRE!I54</f>
        <v>28</v>
      </c>
      <c r="K88" s="324">
        <f t="shared" si="7"/>
        <v>16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320" t="s">
        <v>102</v>
      </c>
      <c r="H89" s="321">
        <v>100</v>
      </c>
      <c r="I89" s="321">
        <f t="shared" si="6"/>
        <v>44</v>
      </c>
      <c r="J89" s="321">
        <f>AOUT!J92+SEPTEMBRE!I55+OCTOBRE!I55+NOVEMBRE!I62+DECEMBRE!I55</f>
        <v>12</v>
      </c>
      <c r="K89" s="321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2">
      <c r="A90" s="3"/>
      <c r="B90" s="3"/>
      <c r="C90" s="72"/>
      <c r="D90" s="72"/>
      <c r="E90" s="72"/>
      <c r="F90" s="72"/>
      <c r="G90" s="322" t="s">
        <v>168</v>
      </c>
      <c r="H90" s="321">
        <v>100</v>
      </c>
      <c r="I90" s="321">
        <f t="shared" si="6"/>
        <v>44</v>
      </c>
      <c r="J90" s="321">
        <f>AOUT!J93+SEPTEMBRE!I56+OCTOBRE!I56+NOVEMBRE!I63+DECEMBRE!I56</f>
        <v>12</v>
      </c>
      <c r="K90" s="321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 x14ac:dyDescent="0.15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 x14ac:dyDescent="0.15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 x14ac:dyDescent="0.15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 x14ac:dyDescent="0.15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 x14ac:dyDescent="0.15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 x14ac:dyDescent="0.15">
      <c r="P838" s="3"/>
      <c r="Q838" s="3"/>
      <c r="R838" s="3"/>
      <c r="S838" s="3"/>
      <c r="T838" s="3"/>
      <c r="U838" s="3"/>
    </row>
    <row r="839" spans="11:21" ht="12" customHeight="1" x14ac:dyDescent="0.15">
      <c r="P839" s="3"/>
      <c r="Q839" s="3"/>
      <c r="R839" s="3"/>
      <c r="S839" s="3"/>
      <c r="T839" s="3"/>
      <c r="U839" s="3"/>
    </row>
    <row r="840" spans="11:21" ht="12" customHeight="1" x14ac:dyDescent="0.15">
      <c r="P840" s="3"/>
      <c r="Q840" s="3"/>
      <c r="R840" s="3"/>
      <c r="S840" s="3"/>
      <c r="T840" s="3"/>
      <c r="U840" s="3"/>
    </row>
    <row r="841" spans="11:21" ht="12" customHeight="1" x14ac:dyDescent="0.15">
      <c r="P841" s="3"/>
      <c r="Q841" s="3"/>
      <c r="R841" s="3"/>
      <c r="S841" s="3"/>
      <c r="T841" s="3"/>
      <c r="U841" s="3"/>
    </row>
    <row r="842" spans="11:21" ht="12" customHeight="1" x14ac:dyDescent="0.15">
      <c r="P842" s="3"/>
      <c r="Q842" s="3"/>
      <c r="R842" s="3"/>
      <c r="S842" s="3"/>
      <c r="T842" s="3"/>
      <c r="U842" s="3"/>
    </row>
    <row r="843" spans="11:21" ht="12" customHeight="1" x14ac:dyDescent="0.15">
      <c r="P843" s="3"/>
      <c r="Q843" s="3"/>
      <c r="R843" s="3"/>
      <c r="S843" s="3"/>
      <c r="T843" s="3"/>
      <c r="U843" s="3"/>
    </row>
    <row r="844" spans="11:21" ht="12" customHeight="1" x14ac:dyDescent="0.15">
      <c r="P844" s="3"/>
      <c r="Q844" s="3"/>
      <c r="R844" s="3"/>
      <c r="S844" s="3"/>
      <c r="T844" s="3"/>
      <c r="U844" s="3"/>
    </row>
    <row r="845" spans="11:21" ht="12" customHeight="1" x14ac:dyDescent="0.15">
      <c r="P845" s="3"/>
      <c r="Q845" s="3"/>
      <c r="R845" s="3"/>
      <c r="S845" s="3"/>
      <c r="T845" s="3"/>
      <c r="U845" s="3"/>
    </row>
    <row r="846" spans="11:21" ht="12" customHeight="1" x14ac:dyDescent="0.15">
      <c r="P846" s="3"/>
      <c r="Q846" s="3"/>
      <c r="R846" s="3"/>
      <c r="S846" s="3"/>
      <c r="T846" s="3"/>
      <c r="U846" s="3"/>
    </row>
    <row r="847" spans="11:21" ht="12" customHeight="1" x14ac:dyDescent="0.15">
      <c r="P847" s="3"/>
      <c r="Q847" s="3"/>
      <c r="R847" s="3"/>
      <c r="S847" s="3"/>
      <c r="T847" s="3"/>
      <c r="U847" s="3"/>
    </row>
    <row r="848" spans="11:21" ht="12" customHeight="1" x14ac:dyDescent="0.15">
      <c r="P848" s="3"/>
      <c r="Q848" s="3"/>
      <c r="R848" s="3"/>
      <c r="S848" s="3"/>
      <c r="T848" s="3"/>
      <c r="U848" s="3"/>
    </row>
    <row r="849" spans="16:21" ht="12" customHeight="1" x14ac:dyDescent="0.15">
      <c r="P849" s="3"/>
      <c r="Q849" s="3"/>
      <c r="R849" s="3"/>
      <c r="S849" s="3"/>
      <c r="T849" s="3"/>
      <c r="U849" s="3"/>
    </row>
    <row r="850" spans="16:21" ht="12" customHeight="1" x14ac:dyDescent="0.15">
      <c r="P850" s="3"/>
      <c r="Q850" s="3"/>
      <c r="R850" s="3"/>
      <c r="S850" s="3"/>
      <c r="T850" s="3"/>
      <c r="U850" s="3"/>
    </row>
    <row r="851" spans="16:21" ht="12" customHeight="1" x14ac:dyDescent="0.15">
      <c r="P851" s="3"/>
      <c r="Q851" s="3"/>
      <c r="R851" s="3"/>
      <c r="S851" s="3"/>
      <c r="T851" s="3"/>
      <c r="U851" s="3"/>
    </row>
    <row r="852" spans="16:21" ht="12" customHeight="1" x14ac:dyDescent="0.15">
      <c r="P852" s="3"/>
      <c r="Q852" s="3"/>
      <c r="R852" s="3"/>
      <c r="S852" s="3"/>
      <c r="T852" s="3"/>
      <c r="U852" s="3"/>
    </row>
    <row r="853" spans="16:21" ht="12" customHeight="1" x14ac:dyDescent="0.15">
      <c r="P853" s="3"/>
      <c r="Q853" s="3"/>
      <c r="R853" s="3"/>
      <c r="S853" s="3"/>
      <c r="T853" s="3"/>
      <c r="U853" s="3"/>
    </row>
    <row r="854" spans="16:21" ht="12" customHeight="1" x14ac:dyDescent="0.15">
      <c r="P854" s="3"/>
      <c r="Q854" s="3"/>
      <c r="R854" s="3"/>
      <c r="S854" s="3"/>
      <c r="T854" s="3"/>
      <c r="U854" s="3"/>
    </row>
    <row r="855" spans="16:21" ht="12" customHeight="1" x14ac:dyDescent="0.15">
      <c r="P855" s="3"/>
      <c r="Q855" s="3"/>
      <c r="R855" s="3"/>
      <c r="S855" s="3"/>
      <c r="T855" s="3"/>
      <c r="U855" s="3"/>
    </row>
    <row r="856" spans="16:21" ht="12" customHeight="1" x14ac:dyDescent="0.15">
      <c r="P856" s="3"/>
      <c r="Q856" s="3"/>
      <c r="R856" s="3"/>
      <c r="S856" s="3"/>
      <c r="T856" s="3"/>
      <c r="U856" s="3"/>
    </row>
    <row r="857" spans="16:21" ht="12" customHeight="1" x14ac:dyDescent="0.15">
      <c r="P857" s="3"/>
      <c r="Q857" s="3"/>
      <c r="R857" s="3"/>
      <c r="S857" s="3"/>
      <c r="T857" s="3"/>
      <c r="U857" s="3"/>
    </row>
    <row r="858" spans="16:21" ht="12" customHeight="1" x14ac:dyDescent="0.15">
      <c r="P858" s="3"/>
      <c r="Q858" s="3"/>
      <c r="R858" s="3"/>
      <c r="S858" s="3"/>
      <c r="T858" s="3"/>
      <c r="U858" s="3"/>
    </row>
    <row r="859" spans="16:21" ht="12" customHeight="1" x14ac:dyDescent="0.15">
      <c r="P859" s="3"/>
      <c r="Q859" s="3"/>
      <c r="R859" s="3"/>
      <c r="S859" s="3"/>
      <c r="T859" s="3"/>
      <c r="U859" s="3"/>
    </row>
    <row r="860" spans="16:21" ht="12" customHeight="1" x14ac:dyDescent="0.15">
      <c r="P860" s="3"/>
      <c r="Q860" s="3"/>
      <c r="R860" s="3"/>
      <c r="S860" s="3"/>
      <c r="T860" s="3"/>
      <c r="U860" s="3"/>
    </row>
    <row r="861" spans="16:21" ht="12" customHeight="1" x14ac:dyDescent="0.15">
      <c r="P861" s="3"/>
      <c r="Q861" s="3"/>
      <c r="R861" s="3"/>
      <c r="S861" s="3"/>
      <c r="T861" s="3"/>
      <c r="U861" s="3"/>
    </row>
    <row r="862" spans="16:21" ht="12" customHeight="1" x14ac:dyDescent="0.15">
      <c r="P862" s="3"/>
      <c r="Q862" s="3"/>
      <c r="R862" s="3"/>
      <c r="S862" s="3"/>
      <c r="T862" s="3"/>
      <c r="U862" s="3"/>
    </row>
    <row r="863" spans="16:21" ht="12" customHeight="1" x14ac:dyDescent="0.15">
      <c r="P863" s="3"/>
      <c r="Q863" s="3"/>
      <c r="R863" s="3"/>
      <c r="S863" s="3"/>
      <c r="T863" s="3"/>
      <c r="U863" s="3"/>
    </row>
    <row r="864" spans="16:21" ht="12" customHeight="1" x14ac:dyDescent="0.15">
      <c r="P864" s="3"/>
      <c r="Q864" s="3"/>
      <c r="R864" s="3"/>
      <c r="S864" s="3"/>
      <c r="T864" s="3"/>
      <c r="U864" s="3"/>
    </row>
    <row r="865" spans="16:21" ht="12" customHeight="1" x14ac:dyDescent="0.15">
      <c r="P865" s="3"/>
      <c r="Q865" s="3"/>
      <c r="R865" s="3"/>
      <c r="S865" s="3"/>
      <c r="T865" s="3"/>
      <c r="U865" s="3"/>
    </row>
    <row r="866" spans="16:21" ht="12" customHeight="1" x14ac:dyDescent="0.15">
      <c r="P866" s="3"/>
      <c r="Q866" s="3"/>
      <c r="R866" s="3"/>
      <c r="S866" s="3"/>
      <c r="T866" s="3"/>
      <c r="U866" s="3"/>
    </row>
    <row r="867" spans="16:21" ht="12" customHeight="1" x14ac:dyDescent="0.15">
      <c r="P867" s="3"/>
      <c r="Q867" s="3"/>
      <c r="R867" s="3"/>
      <c r="S867" s="3"/>
      <c r="T867" s="3"/>
      <c r="U867" s="3"/>
    </row>
    <row r="868" spans="16:21" ht="12" customHeight="1" x14ac:dyDescent="0.15">
      <c r="P868" s="3"/>
      <c r="Q868" s="3"/>
      <c r="R868" s="3"/>
      <c r="S868" s="3"/>
      <c r="T868" s="3"/>
      <c r="U868" s="3"/>
    </row>
    <row r="869" spans="16:21" ht="12" customHeight="1" x14ac:dyDescent="0.15">
      <c r="P869" s="3"/>
      <c r="Q869" s="3"/>
      <c r="R869" s="3"/>
      <c r="S869" s="3"/>
      <c r="T869" s="3"/>
      <c r="U869" s="3"/>
    </row>
    <row r="870" spans="16:21" ht="12" customHeight="1" x14ac:dyDescent="0.15">
      <c r="P870" s="3"/>
      <c r="Q870" s="3"/>
      <c r="R870" s="3"/>
      <c r="S870" s="3"/>
      <c r="T870" s="3"/>
      <c r="U870" s="3"/>
    </row>
    <row r="871" spans="16:21" ht="12" customHeight="1" x14ac:dyDescent="0.15">
      <c r="P871" s="3"/>
      <c r="Q871" s="3"/>
      <c r="R871" s="3"/>
      <c r="S871" s="3"/>
      <c r="T871" s="3"/>
      <c r="U871" s="3"/>
    </row>
    <row r="872" spans="16:21" ht="12" customHeight="1" x14ac:dyDescent="0.15">
      <c r="P872" s="3"/>
      <c r="Q872" s="3"/>
      <c r="R872" s="3"/>
      <c r="S872" s="3"/>
      <c r="T872" s="3"/>
      <c r="U872" s="3"/>
    </row>
  </sheetData>
  <mergeCells count="26">
    <mergeCell ref="A77:B77"/>
    <mergeCell ref="A72:B72"/>
    <mergeCell ref="A73:B73"/>
    <mergeCell ref="A74:B74"/>
    <mergeCell ref="A75:B75"/>
    <mergeCell ref="A76:B76"/>
    <mergeCell ref="A67:B67"/>
    <mergeCell ref="A68:B68"/>
    <mergeCell ref="A69:B69"/>
    <mergeCell ref="A70:B70"/>
    <mergeCell ref="A71:B71"/>
    <mergeCell ref="A62:B62"/>
    <mergeCell ref="A63:B63"/>
    <mergeCell ref="A64:B64"/>
    <mergeCell ref="A65:B65"/>
    <mergeCell ref="A66:B66"/>
    <mergeCell ref="L35:M35"/>
    <mergeCell ref="A58:B58"/>
    <mergeCell ref="A59:B59"/>
    <mergeCell ref="A60:B60"/>
    <mergeCell ref="A61:B61"/>
    <mergeCell ref="A1:O1"/>
    <mergeCell ref="C2:D2"/>
    <mergeCell ref="F2:G2"/>
    <mergeCell ref="J2:O2"/>
    <mergeCell ref="A33:D33"/>
  </mergeCells>
  <dataValidations count="1">
    <dataValidation type="list" allowBlank="1" showErrorMessage="1" sqref="C4:D22 E5:L5 C30:D31 F6:L6 E7:L7 E15:K15 E9:K9 G18:J31 E11:K11 F4:L4 E13:K13 F14:K14 F8:L8 F16:F31 H16:K16 E17:E31 G17:K17 F12:K12 K19:K21 K23:K26 C25:D28 K28:K31 F10:K10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4" baseType="variant">
      <vt:variant>
        <vt:lpstr>Feuilles de calcul</vt:lpstr>
      </vt:variant>
      <vt:variant>
        <vt:i4>13</vt:i4>
      </vt:variant>
      <vt:variant>
        <vt:lpstr>Plages nommées</vt:lpstr>
      </vt:variant>
      <vt:variant>
        <vt:i4>12</vt:i4>
      </vt:variant>
    </vt:vector>
  </HeadingPairs>
  <TitlesOfParts>
    <vt:vector size="25" baseType="lpstr">
      <vt:lpstr>JANVIER</vt:lpstr>
      <vt:lpstr>FEVRIER</vt:lpstr>
      <vt:lpstr>MARS</vt:lpstr>
      <vt:lpstr>Feuil1</vt:lpstr>
      <vt:lpstr>AVRIL</vt:lpstr>
      <vt:lpstr>MAI</vt:lpstr>
      <vt:lpstr>JUIN</vt:lpstr>
      <vt:lpstr>JUILLET</vt:lpstr>
      <vt:lpstr>AOUT</vt:lpstr>
      <vt:lpstr>SEPTEMBRE</vt:lpstr>
      <vt:lpstr>OCTOBRE</vt:lpstr>
      <vt:lpstr>NOVEMBRE</vt:lpstr>
      <vt:lpstr>DECEMBRE</vt:lpstr>
      <vt:lpstr>AVRIL!Zone_d_impression</vt:lpstr>
      <vt:lpstr>DECEMBRE!Zone_d_impression</vt:lpstr>
      <vt:lpstr>FEVRIER!Zone_d_impression</vt:lpstr>
      <vt:lpstr>JANVIER!Zone_d_impression</vt:lpstr>
      <vt:lpstr>JUIN!Zone_d_impression</vt:lpstr>
      <vt:lpstr>MAI!Zone_d_impression</vt:lpstr>
      <vt:lpstr>MARS!Zone_d_impression</vt:lpstr>
      <vt:lpstr>NOVEMBRE!Zone_d_impression</vt:lpstr>
      <vt:lpstr>OCTOBRE!Zone_d_impression</vt:lpstr>
      <vt:lpstr>SEPTEMBRE!Zone_d_impression</vt:lpstr>
      <vt:lpstr>JUILLET!Zone_d_impression</vt:lpstr>
      <vt:lpstr>AOUT!Zone_d_impression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2026-09-11T12:03:34Z</dcterms:modified>
  <cp:category/>
  <cp:contentStatus/>
</cp:coreProperties>
</file>