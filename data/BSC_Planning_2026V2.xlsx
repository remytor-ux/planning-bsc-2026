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01" documentId="11_82001204A17853BD4102BB3957D4EBE5562A03D3" xr6:coauthVersionLast="47" xr6:coauthVersionMax="47" xr10:uidLastSave="{70BCEFB9-64D5-42A6-AE60-40AC6BAF9610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<sst xmlns="http://schemas.openxmlformats.org/spreadsheetml/2006/main" count="4205" uniqueCount="221">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</sst>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0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72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0"/>
      <c r="J44" s="36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101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2" t="s">
        <v>57</v>
      </c>
      <c r="D60" s="362"/>
      <c r="E60" s="36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3" t="s">
        <v>115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3" t="s">
        <v>134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3" t="s">
        <v>159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360" t="s">
        <v>67</v>
      </c>
      <c r="M36" s="36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1"/>
      <c r="I37" s="36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1">
        <f>COUNTIF($J$4:$J$31,"BRUGIROUX")</f>
        <v>0</v>
      </c>
      <c r="I38" s="36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1"/>
      <c r="I40" s="36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3" t="s">
        <v>174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</row>
    <row r="2" spans="1:20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6"/>
      <c r="O40" s="36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0" t="s">
        <v>64</v>
      </c>
      <c r="J41" s="360" t="s">
        <v>65</v>
      </c>
      <c r="K41" s="77" t="s">
        <v>66</v>
      </c>
      <c r="L41" s="360" t="s">
        <v>67</v>
      </c>
      <c r="M41" s="36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1"/>
      <c r="I42" s="36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1">
        <v>1</v>
      </c>
      <c r="I43" s="36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1"/>
      <c r="I45" s="36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2" t="s">
        <v>57</v>
      </c>
      <c r="D63" s="362"/>
      <c r="E63" s="36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H33" sqref="H33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27" t="s">
        <v>22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70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36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110</v>
      </c>
      <c r="M44" s="238">
        <f t="shared" si="2"/>
        <v>-7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164</v>
      </c>
      <c r="M49" s="238">
        <f t="shared" si="2"/>
        <v>47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197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5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206</v>
      </c>
      <c r="M26" s="30"/>
      <c r="N26" s="275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5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5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5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36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F21" sqref="F21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208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210</v>
      </c>
      <c r="J4" s="27" t="s">
        <v>38</v>
      </c>
      <c r="K4" s="28"/>
      <c r="L4" s="172" t="s">
        <v>211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211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210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210</v>
      </c>
      <c r="J11" s="24" t="s">
        <v>29</v>
      </c>
      <c r="K11" s="28"/>
      <c r="L11" s="172" t="s">
        <v>211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211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210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210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213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213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214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214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6" t="s">
        <v>53</v>
      </c>
      <c r="B40" s="366"/>
      <c r="C40" s="366"/>
      <c r="D40" s="36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2" t="s">
        <v>57</v>
      </c>
      <c r="M42" s="36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64</v>
      </c>
      <c r="J43" s="360" t="s">
        <v>65</v>
      </c>
      <c r="K43" s="36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34" zoomScale="111" zoomScaleNormal="111" workbookViewId="0">
      <selection activeCell="J25" sqref="J2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215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220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36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69" t="s">
        <v>38</v>
      </c>
      <c r="B58" s="369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9" t="s">
        <v>36</v>
      </c>
      <c r="B59" s="369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9" t="s">
        <v>21</v>
      </c>
      <c r="B60" s="369"/>
      <c r="C60" s="272">
        <f>SEPTEMBRE!K39+OCTOBRE!K39+NOVEMBRE!K46+DECEMBRE!K39</f>
        <v>312</v>
      </c>
      <c r="D60" s="102">
        <f>SEPTEMBRE!L39+OCTOBRE!L39+NOVEMBRE!L46+DECEMBRE!L39</f>
        <v>380</v>
      </c>
      <c r="E60" s="355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9" t="s">
        <v>31</v>
      </c>
      <c r="B61" s="369"/>
      <c r="C61" s="272">
        <f>SEPTEMBRE!K40+OCTOBRE!K40+NOVEMBRE!K47+DECEMBRE!K40</f>
        <v>511.68</v>
      </c>
      <c r="D61" s="102">
        <f>SEPTEMBRE!L40+OCTOBRE!L40+NOVEMBRE!L47+DECEMBRE!L40</f>
        <v>604</v>
      </c>
      <c r="E61" s="355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8" t="s">
        <v>28</v>
      </c>
      <c r="B62" s="368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8" t="s">
        <v>42</v>
      </c>
      <c r="B63" s="368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8" t="s">
        <v>47</v>
      </c>
      <c r="B64" s="368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8" t="s">
        <v>20</v>
      </c>
      <c r="B65" s="368"/>
      <c r="C65" s="272">
        <f>SEPTEMBRE!K44+OCTOBRE!K44+NOVEMBRE!K51+DECEMBRE!K44</f>
        <v>522.6</v>
      </c>
      <c r="D65" s="102">
        <f>SEPTEMBRE!L44+OCTOBRE!L44+NOVEMBRE!L51+DECEMBRE!L44</f>
        <v>578</v>
      </c>
      <c r="E65" s="355">
        <f t="shared" si="5"/>
        <v>55.399999999999977</v>
      </c>
      <c r="F65" s="163">
        <f t="shared" si="4"/>
        <v>2.3083333333333322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8" t="s">
        <v>19</v>
      </c>
      <c r="B66" s="368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8" t="s">
        <v>37</v>
      </c>
      <c r="B67" s="368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8" t="s">
        <v>27</v>
      </c>
      <c r="B68" s="36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8" t="s">
        <v>34</v>
      </c>
      <c r="B69" s="368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8" t="s">
        <v>22</v>
      </c>
      <c r="B70" s="368"/>
      <c r="C70" s="272">
        <f>SEPTEMBRE!K49+OCTOBRE!K49+NOVEMBRE!K56+DECEMBRE!K49</f>
        <v>585</v>
      </c>
      <c r="D70" s="102">
        <f>SEPTEMBRE!L49+OCTOBRE!L49+NOVEMBRE!L56+DECEMBRE!L49</f>
        <v>628</v>
      </c>
      <c r="E70" s="355">
        <f t="shared" si="5"/>
        <v>43</v>
      </c>
      <c r="F70" s="163">
        <f t="shared" si="4"/>
        <v>1.7916666666666667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8" t="s">
        <v>29</v>
      </c>
      <c r="B71" s="368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8" t="s">
        <v>48</v>
      </c>
      <c r="B72" s="368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8" t="s">
        <v>44</v>
      </c>
      <c r="B73" s="36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8" t="s">
        <v>23</v>
      </c>
      <c r="B74" s="368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8" t="s">
        <v>32</v>
      </c>
      <c r="B75" s="368"/>
      <c r="C75" s="272">
        <f>SEPTEMBRE!K54+OCTOBRE!K54+NOVEMBRE!K61+DECEMBRE!K54</f>
        <v>546</v>
      </c>
      <c r="D75" s="102">
        <f>SEPTEMBRE!L54+OCTOBRE!L54+NOVEMBRE!L61+DECEMBRE!L54</f>
        <v>750</v>
      </c>
      <c r="E75" s="355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8" t="s">
        <v>102</v>
      </c>
      <c r="B76" s="368"/>
      <c r="C76" s="272">
        <f>SEPTEMBRE!K55+OCTOBRE!K55+NOVEMBRE!K62+DECEMBRE!K55</f>
        <v>546</v>
      </c>
      <c r="D76" s="102">
        <f>SEPTEMBRE!L55+OCTOBRE!L55+NOVEMBRE!L62+DECEMBRE!L55</f>
        <v>594</v>
      </c>
      <c r="E76" s="355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7" t="s">
        <v>168</v>
      </c>
      <c r="B77" s="367"/>
      <c r="C77" s="272">
        <f>SEPTEMBRE!K56+OCTOBRE!K56+NOVEMBRE!K63+DECEMBRE!K56</f>
        <v>546</v>
      </c>
      <c r="D77" s="102">
        <f>SEPTEMBRE!L56+OCTOBRE!L56+NOVEMBRE!L63+DECEMBRE!L56</f>
        <v>580</v>
      </c>
      <c r="E77" s="355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2026-09-07T06:58:46Z</dcterms:modified>
  <cp:category/>
  <cp:contentStatus/>
</cp:coreProperties>
</file>