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/>
  <mc:AlternateContent xmlns:mc="http://schemas.openxmlformats.org/markup-compatibility/2006">
    <mc:Choice Requires="x15">
      <x15ac:absPath xmlns:x15ac="http://schemas.microsoft.com/office/spreadsheetml/2010/11/ac" url="C:\Users\sssm-nim-medecin\Desktop\"/>
    </mc:Choice>
  </mc:AlternateContent>
  <xr:revisionPtr revIDLastSave="415" documentId="11_82001204A17853BD4102BB3957D4EBE5562A03D3" xr6:coauthVersionLast="47" xr6:coauthVersionMax="47" xr10:uidLastSave="{C10C2AA6-3F79-4EEE-87F1-B13EA622C489}"/>
  <bookViews>
    <workbookView xWindow="0" yWindow="0" windowWidth="25200" windowHeight="11865" tabRatio="500" firstSheet="12" activeTab="12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7">JUILLET!$B$2:$K$31</definedName>
    <definedName name="_xlnm.Print_Area" localSheetId="8">AOUT!$A$1:$O$38</definedName>
    <definedName name="_xlnm.Print_Area" localSheetId="9">SEPTEMBRE!$A$3:$J$31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44" i="13" l="1"/>
  <c r="E44" i="11"/>
  <c r="E61" i="9"/>
  <c r="F61" i="9"/>
  <c r="L61" i="9"/>
  <c r="E52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K54" i="11"/>
  <c r="J54" i="11"/>
  <c r="G54" i="11"/>
  <c r="F54" i="11"/>
  <c r="E54" i="11"/>
  <c r="L54" i="11"/>
  <c r="M54" i="11"/>
  <c r="K53" i="11"/>
  <c r="J53" i="11"/>
  <c r="G53" i="11"/>
  <c r="F53" i="11"/>
  <c r="E53" i="11"/>
  <c r="L53" i="11"/>
  <c r="M53" i="11"/>
  <c r="K52" i="11"/>
  <c r="J52" i="11"/>
  <c r="G52" i="11"/>
  <c r="F52" i="11"/>
  <c r="E52" i="11"/>
  <c r="L52" i="11"/>
  <c r="M52" i="11"/>
  <c r="K51" i="11"/>
  <c r="J51" i="11"/>
  <c r="G51" i="11"/>
  <c r="F51" i="11"/>
  <c r="E51" i="11"/>
  <c r="K50" i="11"/>
  <c r="J50" i="11"/>
  <c r="G50" i="11"/>
  <c r="F50" i="11"/>
  <c r="E50" i="11"/>
  <c r="L50" i="11"/>
  <c r="M50" i="11"/>
  <c r="K49" i="11"/>
  <c r="J49" i="11"/>
  <c r="G49" i="11"/>
  <c r="F49" i="11"/>
  <c r="E49" i="11"/>
  <c r="L49" i="11"/>
  <c r="M49" i="11"/>
  <c r="K48" i="11"/>
  <c r="J48" i="11"/>
  <c r="G48" i="11"/>
  <c r="F48" i="11"/>
  <c r="E48" i="11"/>
  <c r="K47" i="11"/>
  <c r="J47" i="11"/>
  <c r="G47" i="11"/>
  <c r="F47" i="11"/>
  <c r="E47" i="11"/>
  <c r="K46" i="11"/>
  <c r="J46" i="11"/>
  <c r="G46" i="11"/>
  <c r="F46" i="11"/>
  <c r="E46" i="11"/>
  <c r="L46" i="11"/>
  <c r="M46" i="11"/>
  <c r="K45" i="11"/>
  <c r="J45" i="11"/>
  <c r="G45" i="11"/>
  <c r="F45" i="11"/>
  <c r="E45" i="11"/>
  <c r="L45" i="11"/>
  <c r="M45" i="11"/>
  <c r="K44" i="11"/>
  <c r="J44" i="11"/>
  <c r="H44" i="11"/>
  <c r="G44" i="11"/>
  <c r="F44" i="11"/>
  <c r="L44" i="11"/>
  <c r="M44" i="11"/>
  <c r="K43" i="11"/>
  <c r="G43" i="11"/>
  <c r="F43" i="11"/>
  <c r="E43" i="11"/>
  <c r="K42" i="11"/>
  <c r="J42" i="11"/>
  <c r="G42" i="11"/>
  <c r="F42" i="11"/>
  <c r="E42" i="11"/>
  <c r="L42" i="11"/>
  <c r="M42" i="11"/>
  <c r="K41" i="11"/>
  <c r="J41" i="11"/>
  <c r="G41" i="11"/>
  <c r="F41" i="11"/>
  <c r="E41" i="11"/>
  <c r="L41" i="11"/>
  <c r="M41" i="11"/>
  <c r="K40" i="11"/>
  <c r="J40" i="11"/>
  <c r="G40" i="11"/>
  <c r="F40" i="11"/>
  <c r="E40" i="11"/>
  <c r="K39" i="11"/>
  <c r="J39" i="11"/>
  <c r="G39" i="11"/>
  <c r="F39" i="11"/>
  <c r="E39" i="11"/>
  <c r="K38" i="11"/>
  <c r="J38" i="11"/>
  <c r="H38" i="11"/>
  <c r="G38" i="11"/>
  <c r="F38" i="11"/>
  <c r="E38" i="11"/>
  <c r="K37" i="11"/>
  <c r="J37" i="11"/>
  <c r="G37" i="11"/>
  <c r="F37" i="11"/>
  <c r="E37" i="11"/>
  <c r="L37" i="11"/>
  <c r="M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K40" i="10"/>
  <c r="C61" i="13"/>
  <c r="J40" i="10"/>
  <c r="G40" i="10"/>
  <c r="F40" i="10"/>
  <c r="E40" i="10"/>
  <c r="L40" i="10"/>
  <c r="K39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K45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L38" i="11"/>
  <c r="M38" i="11"/>
  <c r="C59" i="13"/>
  <c r="L39" i="11"/>
  <c r="M39" i="11"/>
  <c r="C63" i="13"/>
  <c r="C67" i="13"/>
  <c r="L47" i="11"/>
  <c r="M47" i="11"/>
  <c r="C71" i="13"/>
  <c r="L51" i="11"/>
  <c r="M51" i="11"/>
  <c r="C75" i="13"/>
  <c r="L55" i="11"/>
  <c r="M55" i="11"/>
  <c r="L47" i="12"/>
  <c r="M47" i="12"/>
  <c r="L51" i="12"/>
  <c r="M51" i="12"/>
  <c r="L55" i="12"/>
  <c r="M55" i="12"/>
  <c r="L59" i="12"/>
  <c r="M59" i="12"/>
  <c r="L63" i="12"/>
  <c r="M63" i="12"/>
  <c r="L41" i="13"/>
  <c r="M41" i="13"/>
  <c r="L46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D67" i="13"/>
  <c r="E67" i="13"/>
  <c r="F67" i="13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D59" i="13"/>
  <c r="E59" i="13"/>
  <c r="F59" i="13"/>
  <c r="M38" i="10"/>
  <c r="M44" i="10"/>
  <c r="D65" i="13"/>
  <c r="E65" i="13"/>
  <c r="F65" i="13"/>
  <c r="D79" i="5"/>
  <c r="E79" i="5"/>
  <c r="F79" i="5"/>
  <c r="N54" i="1"/>
  <c r="M43" i="2"/>
  <c r="N43" i="2"/>
  <c r="M47" i="2"/>
  <c r="N47" i="2"/>
  <c r="J74" i="13"/>
  <c r="K74" i="13"/>
  <c r="K77" i="9"/>
  <c r="N37" i="6"/>
  <c r="D75" i="13"/>
  <c r="E75" i="13"/>
  <c r="F75" i="13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D71" i="13"/>
  <c r="E71" i="13"/>
  <c r="F71" i="13"/>
  <c r="M50" i="10"/>
  <c r="D72" i="13"/>
  <c r="E72" i="13"/>
  <c r="F72" i="13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K76" i="9"/>
  <c r="K79" i="9"/>
  <c r="K88" i="9"/>
  <c r="M40" i="10"/>
  <c r="M49" i="10"/>
  <c r="L42" i="10"/>
  <c r="L47" i="10"/>
  <c r="D73" i="13"/>
  <c r="E73" i="13"/>
  <c r="F73" i="13"/>
  <c r="M52" i="10"/>
  <c r="L55" i="10"/>
  <c r="L40" i="11"/>
  <c r="M40" i="11"/>
  <c r="L43" i="11"/>
  <c r="M43" i="11"/>
  <c r="L48" i="11"/>
  <c r="M48" i="11"/>
  <c r="L56" i="11"/>
  <c r="M56" i="11"/>
  <c r="L48" i="12"/>
  <c r="M48" i="12"/>
  <c r="K84" i="13"/>
  <c r="K91" i="9"/>
  <c r="L37" i="10"/>
  <c r="M45" i="10"/>
  <c r="D66" i="13"/>
  <c r="E66" i="13"/>
  <c r="F66" i="13"/>
  <c r="D74" i="13"/>
  <c r="M53" i="10"/>
  <c r="C74" i="13"/>
  <c r="L56" i="12"/>
  <c r="M56" i="12"/>
  <c r="L37" i="13"/>
  <c r="M37" i="13"/>
  <c r="K72" i="13"/>
  <c r="K75" i="13"/>
  <c r="K79" i="13"/>
  <c r="K87" i="13"/>
  <c r="K83" i="9"/>
  <c r="M39" i="10"/>
  <c r="D60" i="13"/>
  <c r="E60" i="13"/>
  <c r="F60" i="13"/>
  <c r="M43" i="10"/>
  <c r="M48" i="10"/>
  <c r="D69" i="13"/>
  <c r="E69" i="13"/>
  <c r="F69" i="13"/>
  <c r="D77" i="13"/>
  <c r="E77" i="13"/>
  <c r="F77" i="13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D70" i="13"/>
  <c r="E70" i="13"/>
  <c r="F70" i="13"/>
  <c r="D68" i="13"/>
  <c r="E68" i="13"/>
  <c r="F68" i="13"/>
  <c r="M47" i="10"/>
  <c r="D76" i="9"/>
  <c r="E76" i="9"/>
  <c r="F76" i="9"/>
  <c r="D64" i="13"/>
  <c r="E64" i="13"/>
  <c r="F64" i="13"/>
  <c r="D58" i="13"/>
  <c r="E58" i="13"/>
  <c r="F58" i="13"/>
  <c r="M37" i="10"/>
  <c r="D76" i="13"/>
  <c r="E76" i="13"/>
  <c r="F76" i="13"/>
  <c r="M55" i="10"/>
  <c r="D63" i="13"/>
  <c r="E63" i="13"/>
  <c r="F63" i="13"/>
  <c r="M42" i="10"/>
  <c r="D61" i="13"/>
  <c r="E61" i="13"/>
  <c r="F61" i="13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62" i="13"/>
  <c r="E62" i="13"/>
  <c r="F62" i="13"/>
  <c r="E74" i="13"/>
  <c r="F74" i="13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<sst xmlns="http://schemas.openxmlformats.org/spreadsheetml/2006/main" count="4213" uniqueCount="227">
  <si>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</si>
  <si>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</si>
  <si>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</si>
  <si>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</si>
  <si>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</si>
  <si>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</si>
  <si>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</si>
  <si>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</si>
  <si>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</si>
  <si>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</si>
  <si>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</si>
  <si>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</si>
  <si>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</si>
  <si>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</si>
  <si>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</si>
  <si>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</si>
  <si>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</si>
  <si>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</si>
  <si>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</si>
  <si>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</si>
  <si>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</si>
  <si>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</si>
  <si>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</si>
  <si>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</si>
  <si>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</si>
  <si>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</si>
  <si>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</si>
  <si>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</si>
  <si>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</si>
  <si>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</si>
  <si>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</si>
  <si>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</si>
  <si>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</si>
  <si>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</si>
  <si>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</si>
  <si>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</si>
  <si>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</si>
  <si>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</si>
  <si>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</si>
  <si>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</si>
  <si>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</si>
  <si>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</si>
  <si>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</si>
  <si>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</si>
  <si>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</si>
  <si>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</si>
  <si>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</si>
  <si>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</si>
  <si>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</si>
  <si>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</si>
  <si>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</si>
  <si>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</si>
  <si>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</si>
  <si>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</si>
  <si>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</si>
  <si>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</si>
  <si>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</si>
  <si>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</si>
  <si>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</si>
  <si>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</si>
  <si>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</si>
  <si>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</si>
  <si>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</si>
  <si>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</si>
  <si>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</si>
  <si>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</si>
  <si>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</si>
  <si>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</si>
  <si>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</si>
  <si>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</si>
  <si>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</si>
  <si>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</si>
  <si>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</si>
  <si>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</si>
  <si>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</si>
  <si>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</si>
  <si>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</si>
  <si>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</si>
  <si>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</si>
  <si>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</si>
  <si>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</si>
  <si>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</si>
  <si>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</si>
  <si>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</si>
  <si>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</si>
  <si>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</si>
  <si>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</si>
  <si>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</si>
  <si>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</si>
  <si>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</si>
  <si>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</si>
  <si>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</si>
  <si>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</si>
  <si>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</si>
  <si>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</si>
  <si>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</si>
  <si>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</si>
  <si>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</si>
  <si>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</si>
  <si>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</si>
  <si>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</si>
  <si>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</si>
  <si>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</si>
  <si>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</si>
  <si>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</si>
  <si>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</si>
  <si>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</si>
  <si>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</si>
  <si>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</si>
  <si>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</si>
  <si>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</si>
  <si>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</si>
  <si>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</si>
  <si>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</si>
  <si>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</si>
  <si>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</si>
  <si>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</si>
  <si>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</si>
  <si>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</si>
  <si>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</si>
  <si>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</si>
  <si>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</si>
  <si>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</si>
  <si>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</si>
  <si>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</si>
  <si>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</si>
  <si>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</si>
  <si>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</si>
  <si>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</si>
  <si>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</si>
  <si>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</si>
  <si>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</si>
  <si>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</si>
  <si>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</si>
  <si>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</si>
  <si>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</si>
  <si>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</si>
  <si>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</si>
  <si>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</si>
  <si>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</si>
  <si>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</si>
  <si>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</si>
  <si>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</si>
  <si>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</si>
  <si>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</si>
  <si>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</si>
  <si>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</si>
  <si>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</si>
  <si>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</si>
  <si>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</si>
  <si>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</si>
  <si>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</si>
  <si>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</si>
  <si>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</si>
  <si>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</si>
  <si>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</si>
  <si>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</si>
  <si>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</si>
  <si>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</si>
  <si>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</si>
  <si>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</si>
  <si>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</si>
  <si>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</si>
  <si>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</si>
  <si>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</si>
  <si>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</si>
  <si>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</si>
  <si>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</si>
  <si>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</si>
  <si>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</si>
  <si>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</si>
  <si>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</si>
  <si>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</si>
  <si>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</si>
  <si>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</si>
  <si>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</si>
  <si>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</si>
  <si>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</si>
  <si>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</si>
  <si>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</si>
  <si>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</si>
  <si>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</si>
  <si>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</si>
  <si>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</si>
  <si>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</si>
  <si>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</si>
  <si>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</si>
  <si>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</si>
  <si>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</si>
  <si>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</si>
  <si>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</si>
  <si>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</si>
  <si>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</si>
  <si>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</si>
  <si>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</si>
  <si>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</si>
  <si>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rado/remy</t>
  </si>
  <si>
    <t>TOUNGOU</t>
  </si>
  <si>
    <t>hachimi/rado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</si>
  <si>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</si>
  <si>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</si>
  <si>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</si>
  <si>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</si>
  <si>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</si>
  <si>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</si>
  <si>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</si>
  <si>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</si>
  <si>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yann/alice</t>
  </si>
  <si>
    <t>yann/afzal</t>
  </si>
  <si>
    <t>lionel/afzal/alice</t>
  </si>
  <si>
    <t>TODY USC</t>
  </si>
  <si>
    <t>lionel/afzal</t>
  </si>
  <si>
    <t>NOVEMBRE</t>
  </si>
  <si>
    <t>RUF 10h</t>
  </si>
  <si>
    <t>Interne</t>
  </si>
  <si>
    <t>afzal/alice</t>
  </si>
  <si>
    <t>afzal</t>
  </si>
  <si>
    <t>EVC</t>
  </si>
  <si>
    <t>RODRIGUE USC</t>
  </si>
  <si>
    <t xml:space="preserve">alice 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</si>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</sst>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  <charset val="1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charset val="1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  <charset val="1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2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B3E3C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75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0" fontId="4" fillId="0" borderId="0" xfId="0" applyFont="1" applyAlignme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 applyAlignment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/>
    <xf numFmtId="0" fontId="4" fillId="14" borderId="0" xfId="0" applyFont="1" applyFill="1" applyAlignment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 applyAlignment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 applyAlignment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 applyAlignment="1"/>
    <xf numFmtId="0" fontId="4" fillId="14" borderId="0" xfId="0" applyFont="1" applyFill="1" applyAlignment="1">
      <alignment horizontal="right"/>
    </xf>
    <xf numFmtId="0" fontId="2" fillId="14" borderId="0" xfId="0" applyFont="1" applyFill="1" applyAlignment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 applyAlignment="1"/>
    <xf numFmtId="0" fontId="6" fillId="14" borderId="1" xfId="0" applyFont="1" applyFill="1" applyBorder="1" applyAlignment="1"/>
    <xf numFmtId="0" fontId="7" fillId="14" borderId="3" xfId="0" applyFont="1" applyFill="1" applyBorder="1" applyAlignment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 applyAlignment="1"/>
    <xf numFmtId="0" fontId="11" fillId="0" borderId="1" xfId="0" applyFont="1" applyBorder="1" applyAlignment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 applyAlignment="1"/>
    <xf numFmtId="0" fontId="8" fillId="16" borderId="3" xfId="0" applyFont="1" applyFill="1" applyBorder="1" applyAlignment="1"/>
    <xf numFmtId="0" fontId="6" fillId="16" borderId="1" xfId="0" applyFont="1" applyFill="1" applyBorder="1" applyAlignment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 applyAlignment="1"/>
    <xf numFmtId="0" fontId="12" fillId="17" borderId="0" xfId="0" applyFont="1" applyFill="1" applyAlignment="1"/>
    <xf numFmtId="0" fontId="12" fillId="18" borderId="0" xfId="0" applyFont="1" applyFill="1" applyAlignment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 applyAlignment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 applyAlignment="1"/>
    <xf numFmtId="0" fontId="4" fillId="0" borderId="1" xfId="0" applyFont="1" applyBorder="1" applyAlignment="1"/>
    <xf numFmtId="0" fontId="4" fillId="0" borderId="2" xfId="0" applyFont="1" applyBorder="1" applyAlignment="1"/>
    <xf numFmtId="0" fontId="12" fillId="10" borderId="1" xfId="0" applyFont="1" applyFill="1" applyBorder="1" applyAlignment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 applyAlignment="1"/>
    <xf numFmtId="0" fontId="13" fillId="10" borderId="1" xfId="0" applyFont="1" applyFill="1" applyBorder="1" applyAlignment="1"/>
    <xf numFmtId="0" fontId="4" fillId="10" borderId="2" xfId="0" applyFont="1" applyFill="1" applyBorder="1" applyAlignment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 applyAlignment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 applyAlignment="1"/>
    <xf numFmtId="0" fontId="6" fillId="16" borderId="2" xfId="0" applyFont="1" applyFill="1" applyBorder="1" applyAlignment="1">
      <alignment horizontal="center"/>
    </xf>
    <xf numFmtId="0" fontId="4" fillId="19" borderId="0" xfId="0" applyFont="1" applyFill="1" applyAlignment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 applyAlignment="1"/>
    <xf numFmtId="0" fontId="16" fillId="10" borderId="1" xfId="0" applyFont="1" applyFill="1" applyBorder="1" applyAlignment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 applyAlignment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 applyAlignment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 applyAlignment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 applyAlignment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 applyAlignment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 applyAlignment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 applyAlignment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 applyAlignment="1"/>
    <xf numFmtId="0" fontId="4" fillId="14" borderId="1" xfId="0" applyFont="1" applyFill="1" applyBorder="1" applyAlignment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 applyAlignment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 applyAlignment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 applyAlignment="1"/>
    <xf numFmtId="0" fontId="8" fillId="14" borderId="2" xfId="0" applyFont="1" applyFill="1" applyBorder="1" applyAlignment="1"/>
    <xf numFmtId="0" fontId="8" fillId="14" borderId="12" xfId="0" applyFont="1" applyFill="1" applyBorder="1" applyAlignment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 applyAlignment="1"/>
    <xf numFmtId="0" fontId="13" fillId="16" borderId="1" xfId="0" applyFont="1" applyFill="1" applyBorder="1" applyAlignment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 applyAlignment="1"/>
    <xf numFmtId="0" fontId="2" fillId="0" borderId="1" xfId="0" applyFont="1" applyBorder="1" applyAlignment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 applyAlignment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 applyAlignment="1"/>
    <xf numFmtId="0" fontId="23" fillId="13" borderId="0" xfId="0" applyFont="1" applyFill="1" applyAlignment="1"/>
    <xf numFmtId="0" fontId="8" fillId="14" borderId="10" xfId="0" applyFont="1" applyFill="1" applyBorder="1" applyAlignment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 applyAlignment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 applyAlignment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 applyAlignment="1"/>
    <xf numFmtId="0" fontId="19" fillId="16" borderId="1" xfId="0" applyFont="1" applyFill="1" applyBorder="1" applyAlignment="1"/>
    <xf numFmtId="0" fontId="2" fillId="0" borderId="12" xfId="0" applyFont="1" applyBorder="1" applyAlignment="1"/>
    <xf numFmtId="0" fontId="6" fillId="10" borderId="1" xfId="0" applyFont="1" applyFill="1" applyBorder="1" applyAlignment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 applyAlignment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 applyAlignment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 applyAlignment="1"/>
    <xf numFmtId="0" fontId="5" fillId="14" borderId="0" xfId="0" applyFont="1" applyFill="1" applyAlignment="1"/>
    <xf numFmtId="0" fontId="5" fillId="0" borderId="0" xfId="0" applyFont="1" applyAlignme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 applyAlignment="1"/>
    <xf numFmtId="0" fontId="4" fillId="21" borderId="1" xfId="0" applyFont="1" applyFill="1" applyBorder="1" applyAlignment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 applyAlignment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 applyAlignment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 applyAlignment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 applyAlignment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 applyAlignment="1"/>
    <xf numFmtId="0" fontId="13" fillId="0" borderId="0" xfId="0" applyFont="1" applyAlignme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 applyAlignment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 applyAlignment="1"/>
    <xf numFmtId="0" fontId="22" fillId="0" borderId="1" xfId="0" applyFont="1" applyBorder="1" applyAlignment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 applyAlignment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 applyAlignment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 applyAlignment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5" fillId="14" borderId="0" xfId="0" applyFont="1" applyFill="1" applyBorder="1" applyAlignment="1">
      <alignment horizontal="center" vertical="center"/>
    </xf>
    <xf numFmtId="0" fontId="4" fillId="14" borderId="0" xfId="0" applyFont="1" applyFill="1" applyBorder="1" applyAlignment="1"/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 applyAlignment="1"/>
    <xf numFmtId="0" fontId="8" fillId="14" borderId="15" xfId="0" applyFont="1" applyFill="1" applyBorder="1" applyAlignment="1"/>
    <xf numFmtId="0" fontId="8" fillId="16" borderId="15" xfId="0" applyFont="1" applyFill="1" applyBorder="1" applyAlignment="1"/>
    <xf numFmtId="0" fontId="7" fillId="16" borderId="7" xfId="0" applyFont="1" applyFill="1" applyBorder="1" applyAlignment="1"/>
    <xf numFmtId="0" fontId="4" fillId="14" borderId="0" xfId="0" applyFont="1" applyFill="1" applyBorder="1" applyAlignment="1">
      <alignment horizontal="right"/>
    </xf>
    <xf numFmtId="0" fontId="8" fillId="24" borderId="15" xfId="0" applyFont="1" applyFill="1" applyBorder="1" applyAlignment="1"/>
    <xf numFmtId="0" fontId="7" fillId="24" borderId="15" xfId="0" applyFont="1" applyFill="1" applyBorder="1" applyAlignment="1"/>
    <xf numFmtId="0" fontId="4" fillId="14" borderId="15" xfId="0" applyFont="1" applyFill="1" applyBorder="1" applyAlignment="1"/>
    <xf numFmtId="0" fontId="4" fillId="0" borderId="15" xfId="0" applyFont="1" applyBorder="1" applyAlignment="1"/>
    <xf numFmtId="0" fontId="19" fillId="0" borderId="15" xfId="0" applyFont="1" applyBorder="1" applyAlignment="1"/>
    <xf numFmtId="0" fontId="4" fillId="0" borderId="9" xfId="0" applyFont="1" applyBorder="1" applyAlignment="1"/>
    <xf numFmtId="0" fontId="4" fillId="0" borderId="4" xfId="0" applyFont="1" applyBorder="1" applyAlignment="1"/>
    <xf numFmtId="0" fontId="4" fillId="25" borderId="1" xfId="0" applyFont="1" applyFill="1" applyBorder="1" applyAlignment="1"/>
    <xf numFmtId="0" fontId="6" fillId="26" borderId="1" xfId="0" applyFont="1" applyFill="1" applyBorder="1" applyAlignment="1">
      <alignment horizontal="center"/>
    </xf>
    <xf numFmtId="0" fontId="7" fillId="26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9" fillId="27" borderId="1" xfId="0" applyFont="1" applyFill="1" applyBorder="1" applyAlignment="1">
      <alignment horizontal="center"/>
    </xf>
    <xf numFmtId="0" fontId="8" fillId="14" borderId="0" xfId="0" applyFont="1" applyFill="1"/>
    <xf numFmtId="0" fontId="29" fillId="12" borderId="1" xfId="0" applyFont="1" applyFill="1" applyBorder="1" applyAlignment="1">
      <alignment horizontal="center"/>
    </xf>
    <xf numFmtId="0" fontId="4" fillId="28" borderId="1" xfId="0" applyFont="1" applyFill="1" applyBorder="1" applyAlignment="1"/>
    <xf numFmtId="0" fontId="5" fillId="28" borderId="1" xfId="0" applyFont="1" applyFill="1" applyBorder="1" applyAlignment="1">
      <alignment horizontal="center"/>
    </xf>
    <xf numFmtId="0" fontId="4" fillId="29" borderId="1" xfId="0" applyFont="1" applyFill="1" applyBorder="1" applyAlignment="1"/>
    <xf numFmtId="0" fontId="5" fillId="29" borderId="1" xfId="0" applyFont="1" applyFill="1" applyBorder="1" applyAlignment="1">
      <alignment horizontal="center"/>
    </xf>
    <xf numFmtId="0" fontId="12" fillId="29" borderId="1" xfId="0" applyFont="1" applyFill="1" applyBorder="1" applyAlignment="1"/>
    <xf numFmtId="0" fontId="5" fillId="29" borderId="3" xfId="0" applyFont="1" applyFill="1" applyBorder="1" applyAlignment="1">
      <alignment horizontal="center"/>
    </xf>
    <xf numFmtId="0" fontId="4" fillId="29" borderId="10" xfId="0" applyFont="1" applyFill="1" applyBorder="1" applyAlignment="1"/>
    <xf numFmtId="0" fontId="12" fillId="29" borderId="10" xfId="0" applyFont="1" applyFill="1" applyBorder="1" applyAlignment="1"/>
    <xf numFmtId="166" fontId="4" fillId="14" borderId="1" xfId="0" applyNumberFormat="1" applyFont="1" applyFill="1" applyBorder="1" applyAlignment="1"/>
    <xf numFmtId="0" fontId="29" fillId="3" borderId="1" xfId="0" applyFont="1" applyFill="1" applyBorder="1" applyAlignment="1">
      <alignment horizontal="center"/>
    </xf>
    <xf numFmtId="0" fontId="28" fillId="14" borderId="1" xfId="0" applyFont="1" applyFill="1" applyBorder="1" applyAlignment="1">
      <alignment horizontal="center"/>
    </xf>
    <xf numFmtId="0" fontId="29" fillId="11" borderId="1" xfId="0" applyFont="1" applyFill="1" applyBorder="1" applyAlignment="1">
      <alignment horizontal="center"/>
    </xf>
    <xf numFmtId="0" fontId="29" fillId="14" borderId="3" xfId="0" applyFont="1" applyFill="1" applyBorder="1" applyAlignment="1">
      <alignment horizontal="center"/>
    </xf>
    <xf numFmtId="0" fontId="7" fillId="30" borderId="1" xfId="0" applyFont="1" applyFill="1" applyBorder="1" applyAlignment="1">
      <alignment horizontal="center"/>
    </xf>
    <xf numFmtId="0" fontId="29" fillId="30" borderId="1" xfId="0" applyFont="1" applyFill="1" applyBorder="1" applyAlignment="1">
      <alignment horizontal="center"/>
    </xf>
    <xf numFmtId="0" fontId="28" fillId="26" borderId="3" xfId="0" applyFont="1" applyFill="1" applyBorder="1" applyAlignment="1">
      <alignment horizontal="center"/>
    </xf>
    <xf numFmtId="0" fontId="28" fillId="13" borderId="3" xfId="0" applyFont="1" applyFill="1" applyBorder="1" applyAlignment="1">
      <alignment horizontal="center"/>
    </xf>
    <xf numFmtId="0" fontId="28" fillId="14" borderId="3" xfId="0" applyFont="1" applyFill="1" applyBorder="1" applyAlignment="1">
      <alignment horizontal="center"/>
    </xf>
    <xf numFmtId="0" fontId="4" fillId="31" borderId="10" xfId="0" applyFont="1" applyFill="1" applyBorder="1" applyAlignment="1"/>
    <xf numFmtId="0" fontId="4" fillId="31" borderId="1" xfId="0" applyFont="1" applyFill="1" applyBorder="1" applyAlignment="1"/>
    <xf numFmtId="0" fontId="12" fillId="0" borderId="15" xfId="0" applyFont="1" applyBorder="1" applyAlignment="1"/>
    <xf numFmtId="9" fontId="12" fillId="0" borderId="3" xfId="0" applyNumberFormat="1" applyFont="1" applyBorder="1" applyAlignment="1">
      <alignment horizontal="center"/>
    </xf>
    <xf numFmtId="9" fontId="12" fillId="0" borderId="8" xfId="0" applyNumberFormat="1" applyFont="1" applyBorder="1" applyAlignment="1">
      <alignment horizontal="center"/>
    </xf>
    <xf numFmtId="9" fontId="4" fillId="0" borderId="8" xfId="0" applyNumberFormat="1" applyFont="1" applyBorder="1" applyAlignment="1">
      <alignment horizontal="center"/>
    </xf>
    <xf numFmtId="0" fontId="29" fillId="26" borderId="1" xfId="0" applyFont="1" applyFill="1" applyBorder="1" applyAlignment="1">
      <alignment horizontal="center" wrapText="1"/>
    </xf>
    <xf numFmtId="0" fontId="7" fillId="28" borderId="1" xfId="0" applyFont="1" applyFill="1" applyBorder="1" applyAlignment="1">
      <alignment horizontal="center"/>
    </xf>
    <xf numFmtId="0" fontId="6" fillId="27" borderId="1" xfId="0" applyFont="1" applyFill="1" applyBorder="1" applyAlignment="1">
      <alignment horizontal="center"/>
    </xf>
    <xf numFmtId="0" fontId="6" fillId="26" borderId="3" xfId="0" applyFont="1" applyFill="1" applyBorder="1" applyAlignment="1">
      <alignment horizontal="center"/>
    </xf>
    <xf numFmtId="0" fontId="6" fillId="27" borderId="3" xfId="0" applyFont="1" applyFill="1" applyBorder="1" applyAlignment="1">
      <alignment horizontal="center"/>
    </xf>
    <xf numFmtId="0" fontId="7" fillId="27" borderId="3" xfId="0" applyFont="1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2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27" fillId="14" borderId="1" xfId="0" applyFont="1" applyFill="1" applyBorder="1" applyAlignment="1">
      <alignment horizont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2.125" style="2" customWidth="1"/>
    <col min="10" max="10" width="16.125" style="1" customWidth="1"/>
    <col min="11" max="11" width="11.75" style="1" customWidth="1"/>
    <col min="12" max="12" width="13.375" style="1" customWidth="1"/>
    <col min="13" max="13" width="8" style="1" customWidth="1"/>
    <col min="14" max="14" width="6.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67" t="s">
        <v>0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8" t="s">
        <v>1</v>
      </c>
      <c r="D2" s="368"/>
      <c r="E2" s="4" t="s">
        <v>2</v>
      </c>
      <c r="F2" s="369" t="s">
        <v>3</v>
      </c>
      <c r="G2" s="369"/>
      <c r="H2" s="5"/>
      <c r="I2" s="5"/>
      <c r="J2" s="5"/>
      <c r="K2" s="6"/>
      <c r="L2" s="370" t="s">
        <v>4</v>
      </c>
      <c r="M2" s="370"/>
      <c r="N2" s="370"/>
      <c r="O2" s="370"/>
      <c r="P2" s="370"/>
      <c r="Q2" s="370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70" t="s">
        <v>53</v>
      </c>
      <c r="B33" s="370"/>
      <c r="C33" s="370"/>
      <c r="D33" s="370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6" t="s">
        <v>57</v>
      </c>
      <c r="M35" s="77"/>
      <c r="N35" s="366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6" t="s">
        <v>63</v>
      </c>
      <c r="J36" s="366" t="s">
        <v>64</v>
      </c>
      <c r="K36" s="366" t="s">
        <v>65</v>
      </c>
      <c r="L36" s="366" t="s">
        <v>66</v>
      </c>
      <c r="M36" s="77" t="s">
        <v>67</v>
      </c>
      <c r="N36" s="366" t="s">
        <v>68</v>
      </c>
      <c r="O36" s="78"/>
      <c r="P36" s="78"/>
    </row>
    <row r="37" spans="1:23" ht="12.75" customHeight="1">
      <c r="A37" s="73"/>
      <c r="B37" s="73"/>
      <c r="C37" s="82" t="s">
        <v>69</v>
      </c>
      <c r="D37" s="83">
        <v>0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6"/>
      <c r="J37" s="366"/>
      <c r="K37" s="85">
        <f t="shared" ref="K37:K55" si="0">D37*((9*$D$35)-($F$35*9/5))-(D37*(J37*1.8))</f>
        <v>0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v>5</v>
      </c>
      <c r="F38" s="90">
        <f>COUNTIF($D$4:$D$31,"BOULAT")+COUNTIF($G$4:$G$31,"BOULAT")</f>
        <v>6</v>
      </c>
      <c r="G38" s="90">
        <f>COUNTIF($E$4:$E$31,"BOULAT")</f>
        <v>1</v>
      </c>
      <c r="H38" s="88"/>
      <c r="I38" s="90"/>
      <c r="J38" s="91"/>
      <c r="K38" s="92">
        <f t="shared" si="0"/>
        <v>36</v>
      </c>
      <c r="L38" s="91">
        <f>D38*((39*$D$35)-($F$35*39/5))-(D38*(J38*7.8))</f>
        <v>156</v>
      </c>
      <c r="M38" s="93">
        <f>E38*10+F38*14+G38*12</f>
        <v>146</v>
      </c>
      <c r="N38" s="91">
        <f t="shared" si="1"/>
        <v>-10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6</v>
      </c>
      <c r="G39" s="90">
        <f>COUNTIF($E$4:$E$31,"BRUGIROUX")</f>
        <v>0</v>
      </c>
      <c r="H39" s="88">
        <v>1</v>
      </c>
      <c r="I39" s="90"/>
      <c r="J39" s="91">
        <v>4.5</v>
      </c>
      <c r="K39" s="92">
        <f t="shared" si="0"/>
        <v>25.11</v>
      </c>
      <c r="L39" s="91">
        <f t="shared" ref="L39:L55" si="2">D39*((39*$D$35)-($F$35*39/5))-(J39*7.8)</f>
        <v>105.30000000000001</v>
      </c>
      <c r="M39" s="93">
        <f>E39*10+F39*14+G39*12+H39*10</f>
        <v>144</v>
      </c>
      <c r="N39" s="91">
        <f t="shared" si="1"/>
        <v>38.699999999999989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COUNTIF($C$4:$C$31,"CAUVY")+COUNTIF($F$4:$F$31,"CAUVY")+COUNTIF($I$4:$I$31,"CAUVY")</f>
        <v>3</v>
      </c>
      <c r="F40" s="90">
        <f>COUNTIF($D$4:$D$31,"CAUVY")+COUNTIF($G$4:$G$31,"CAUVY")</f>
        <v>0</v>
      </c>
      <c r="G40" s="90">
        <f>COUNTIF($E$4:$E$31,"CAUVY")</f>
        <v>5</v>
      </c>
      <c r="H40" s="90">
        <f>COUNTIF($K$4:$K$31,"CAUVY")</f>
        <v>0</v>
      </c>
      <c r="I40" s="90"/>
      <c r="J40" s="91"/>
      <c r="K40" s="92">
        <f t="shared" si="0"/>
        <v>18</v>
      </c>
      <c r="L40" s="91">
        <f t="shared" si="2"/>
        <v>78</v>
      </c>
      <c r="M40" s="93">
        <f>E40*10+F40*14+G40*12+H40*10</f>
        <v>90</v>
      </c>
      <c r="N40" s="91">
        <f t="shared" si="1"/>
        <v>12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COUNTIF($C$4:$C$31,"FONTAINE")+COUNTIF($F$4:$F$31,"FONTAINE")+COUNTIF($I$4:$I$31,"FONTAINE")</f>
        <v>6</v>
      </c>
      <c r="F41" s="90">
        <f>COUNTIF($D$4:$D$31,"FONTAINE")+COUNTIF($G$4:$G$31,"FONTAINE")</f>
        <v>6</v>
      </c>
      <c r="G41" s="90">
        <f>COUNTIF($E$4:$E$31,"FONTAINE")</f>
        <v>0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144</v>
      </c>
      <c r="N41" s="91">
        <f t="shared" si="1"/>
        <v>19.199999999999989</v>
      </c>
      <c r="O41" s="3"/>
      <c r="P41" s="3"/>
    </row>
    <row r="42" spans="1:23" ht="13.5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2</v>
      </c>
      <c r="F42" s="90">
        <f>COUNTIF($D$4:$D$31,"KANTCHE")+COUNTIF($G$4:$G$31,"KANTCHE")</f>
        <v>3</v>
      </c>
      <c r="G42" s="90">
        <f>COUNTIF($E$4:$E$31,"KANTCHE")</f>
        <v>4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110</v>
      </c>
      <c r="N42" s="91">
        <f t="shared" si="1"/>
        <v>16.400000000000006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COUNTIF($C$4:$C$31,"ORIOLI")+COUNTIF($F$4:$F$31,"ORIOLI")+COUNTIF($I$4:$I$31,"ORIOLI")</f>
        <v>5</v>
      </c>
      <c r="F43" s="90">
        <f>COUNTIF($D$4:$D$31,"ORIOLI")+COUNTIF($G$4:$G$31,"ORIOLI")</f>
        <v>6</v>
      </c>
      <c r="G43" s="90">
        <f>COUNTIF($E$4:$E$31,"ORIOLI")</f>
        <v>1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146</v>
      </c>
      <c r="N43" s="91">
        <f t="shared" si="1"/>
        <v>-10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COUNTIF($C$4:$C$31,"TKATCHOUK")+COUNTIF($I$4:$I$31,"TKATCHOUK")+COUNTIF($F$4:$F$31,"TKATCHOUK")</f>
        <v>0</v>
      </c>
      <c r="F44" s="90">
        <f>COUNTIF($D$4:$D$31,"TKATCHOUK")+COUNTIF($G$4:$G$31,"TKATCHOUK")</f>
        <v>0</v>
      </c>
      <c r="G44" s="90">
        <f>COUNTIF($E$4:$E$31,"TKATCHOUK")</f>
        <v>6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72</v>
      </c>
      <c r="N44" s="91">
        <f t="shared" si="1"/>
        <v>-6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COUNTIF($C$4:$C$31,"TORREGROSSA")+COUNTIF($I$4:$I$31,"TORREGROSSA")+COUNTIF($F$4:$F$31,"TORREGROSSA")</f>
        <v>1</v>
      </c>
      <c r="F45" s="90">
        <f>COUNTIF($D$4:$D$31,"TORREGROSSA")+COUNTIF($G$4:$G$31,"TORREGROSSA")</f>
        <v>5</v>
      </c>
      <c r="G45" s="90">
        <f>COUNTIF($E$4:$E$31,"TORREGROSSA")</f>
        <v>1</v>
      </c>
      <c r="H45" s="90">
        <f>COUNTIF($J$4:$J$31,"TORREGROSSA")</f>
        <v>6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152</v>
      </c>
      <c r="N45" s="91">
        <f t="shared" si="1"/>
        <v>-4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3</v>
      </c>
      <c r="F46" s="90">
        <f>COUNTIF($D$4:$D$31,"BALLOT")+COUNTIF($G$4:$G$31,"BALLOT")</f>
        <v>0</v>
      </c>
      <c r="G46" s="90">
        <f>COUNTIF($E$4:$E$31,"BALLOT")</f>
        <v>3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66</v>
      </c>
      <c r="N46" s="91">
        <f t="shared" si="1"/>
        <v>3.5999999999999943</v>
      </c>
      <c r="O46" s="3"/>
      <c r="P46" s="3"/>
      <c r="Q46" s="3"/>
    </row>
    <row r="47" spans="1:23" ht="12" customHeight="1">
      <c r="A47" s="3"/>
      <c r="B47" s="3"/>
      <c r="C47" s="91" t="s">
        <v>37</v>
      </c>
      <c r="D47" s="95">
        <v>0.4</v>
      </c>
      <c r="E47" s="90">
        <f>COUNTIF($C$4:$C$31,"MOREL")+COUNTIF($F$4:$F$31,"MOREL")+COUNTIF($I$4:$I$31,"MOREL")</f>
        <v>6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60</v>
      </c>
      <c r="N47" s="91">
        <f t="shared" si="1"/>
        <v>-2.4000000000000057</v>
      </c>
      <c r="O47" s="3"/>
      <c r="P47" s="3"/>
      <c r="Q47" s="3"/>
    </row>
    <row r="48" spans="1:23" ht="12" customHeight="1">
      <c r="A48" s="3"/>
      <c r="B48" s="3"/>
      <c r="C48" s="91" t="s">
        <v>27</v>
      </c>
      <c r="D48" s="95">
        <v>0.8</v>
      </c>
      <c r="E48" s="90">
        <f>COUNTIF($C$4:$C$31,"RACHIDI")+COUNTIF($F$4:$F$31,"RACHIDI")+COUNTIF($I$4:$I$31,"RACHIDI")</f>
        <v>5</v>
      </c>
      <c r="F48" s="90">
        <f>COUNTIF($D$4:$D$31,"RACHIDI")+COUNTIF($G$4:$G$31,"RACHIDI")</f>
        <v>4</v>
      </c>
      <c r="G48" s="90">
        <f>COUNTIF($E$4:$E$31,"RACHIDI")</f>
        <v>2</v>
      </c>
      <c r="H48" s="90"/>
      <c r="I48" s="91"/>
      <c r="J48" s="91"/>
      <c r="K48" s="92">
        <f t="shared" si="0"/>
        <v>28.8</v>
      </c>
      <c r="L48" s="91">
        <f t="shared" si="2"/>
        <v>124.80000000000001</v>
      </c>
      <c r="M48" s="93">
        <f t="shared" si="3"/>
        <v>130</v>
      </c>
      <c r="N48" s="91">
        <f t="shared" si="1"/>
        <v>5.1999999999999886</v>
      </c>
      <c r="O48" s="3"/>
      <c r="P48" s="3"/>
      <c r="Q48" s="3"/>
    </row>
    <row r="49" spans="1:23" ht="12" customHeight="1">
      <c r="A49" s="3"/>
      <c r="B49" s="3"/>
      <c r="C49" s="91" t="s">
        <v>34</v>
      </c>
      <c r="D49" s="95">
        <v>1</v>
      </c>
      <c r="E49" s="90">
        <f>COUNTIF($C$4:$C$31,"ZEBICHE")+COUNTIF($I$4:$I$31,"ZEBICHE")+COUNTIF($F$4:$F$31,"ZEBICHE")</f>
        <v>7</v>
      </c>
      <c r="F49" s="90">
        <f>COUNTIF($D$4:$D$31,"ZEBICHE")+COUNTIF($G$4:$G$31,"ZEBICHE")</f>
        <v>7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168</v>
      </c>
      <c r="N49" s="91">
        <f t="shared" si="1"/>
        <v>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f>COUNTIF($C$4:$C$31,"HACHIMI")+COUNTIF($H$4:$H$31,"HACHIMI")+COUNTIF($I$4:$I$31,"HACHIMI")+COUNTIF($F$4:$F$31,"HACHIMI")+D59</f>
        <v>12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176</v>
      </c>
      <c r="N50" s="91">
        <f t="shared" si="1"/>
        <v>20</v>
      </c>
      <c r="O50" s="3" t="s">
        <v>70</v>
      </c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5</v>
      </c>
      <c r="F51" s="90">
        <f>COUNTIF($D$4:$D$31,"BIENDOUX")+COUNTIF($H$4:$H$31,"BIENDOUX")+COUNTIF($G$4:$G$31,"BIENDOUX")</f>
        <v>4</v>
      </c>
      <c r="G51" s="90">
        <f>COUNTIF($E$4:$E$31,"BIENDOUX")</f>
        <v>1</v>
      </c>
      <c r="H51" s="90"/>
      <c r="I51" s="91"/>
      <c r="J51" s="91"/>
      <c r="K51" s="92">
        <f t="shared" si="0"/>
        <v>36</v>
      </c>
      <c r="L51" s="91">
        <f t="shared" si="2"/>
        <v>156</v>
      </c>
      <c r="M51" s="93">
        <f t="shared" si="3"/>
        <v>118</v>
      </c>
      <c r="N51" s="91">
        <f t="shared" si="1"/>
        <v>-38</v>
      </c>
      <c r="O51" s="1" t="s">
        <v>70</v>
      </c>
    </row>
    <row r="52" spans="1:23" ht="12" customHeight="1">
      <c r="A52" s="3"/>
      <c r="B52" s="96"/>
      <c r="C52" s="91" t="s">
        <v>48</v>
      </c>
      <c r="D52" s="95">
        <v>1</v>
      </c>
      <c r="E52" s="97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2</v>
      </c>
      <c r="G52" s="90">
        <f>COUNTIF($E$4:$E$31,"AFZAL")</f>
        <v>0</v>
      </c>
      <c r="H52" s="90"/>
      <c r="I52" s="91"/>
      <c r="J52" s="91">
        <v>2</v>
      </c>
      <c r="K52" s="92">
        <f t="shared" si="0"/>
        <v>32.4</v>
      </c>
      <c r="L52" s="91">
        <f t="shared" si="2"/>
        <v>140.4</v>
      </c>
      <c r="M52" s="93">
        <f t="shared" si="3"/>
        <v>138</v>
      </c>
      <c r="N52" s="91">
        <f t="shared" si="1"/>
        <v>-2.4000000000000057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v>4.5</v>
      </c>
      <c r="F53" s="90">
        <f>COUNTIF($D$4:$D$31,"IBRAHIM")+COUNTIF($H$4:$H$31,"IBRAHIM")+COUNTIF($G$4:$G$31,"IBRAHIM")</f>
        <v>5</v>
      </c>
      <c r="G53" s="90">
        <f>COUNTIF($E$4:$E$31,"IBRAHIM")</f>
        <v>0</v>
      </c>
      <c r="H53" s="90"/>
      <c r="I53" s="91"/>
      <c r="J53" s="91">
        <v>4</v>
      </c>
      <c r="K53" s="92">
        <f t="shared" si="0"/>
        <v>28.8</v>
      </c>
      <c r="L53" s="91">
        <f t="shared" si="2"/>
        <v>124.8</v>
      </c>
      <c r="M53" s="93">
        <f t="shared" si="3"/>
        <v>115</v>
      </c>
      <c r="N53" s="91">
        <f t="shared" si="1"/>
        <v>-9.7999999999999972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v>10</v>
      </c>
      <c r="F54" s="90">
        <v>4</v>
      </c>
      <c r="G54" s="90">
        <f>COUNTIF($E$4:$E$31,"IMAD")</f>
        <v>3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192</v>
      </c>
      <c r="N54" s="91">
        <f t="shared" si="1"/>
        <v>36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f>COUNTIF($D$4:$D$31,"RADO")+COUNTIF($H$4:$H$31,"RADO")+COUNTIF($G$4:$G$31,"RADO")</f>
        <v>3</v>
      </c>
      <c r="G55" s="90">
        <f>COUNTIF($E$4:$E$31,"RADO")</f>
        <v>0</v>
      </c>
      <c r="H55" s="90"/>
      <c r="I55" s="91"/>
      <c r="J55" s="91">
        <v>7</v>
      </c>
      <c r="K55" s="92">
        <f t="shared" si="0"/>
        <v>23.4</v>
      </c>
      <c r="L55" s="91">
        <f t="shared" si="2"/>
        <v>101.4</v>
      </c>
      <c r="M55" s="93">
        <f t="shared" si="3"/>
        <v>92</v>
      </c>
      <c r="N55" s="91">
        <f t="shared" si="1"/>
        <v>-9.4000000000000057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6" t="s">
        <v>22</v>
      </c>
      <c r="D59" s="102">
        <v>10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6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6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6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6" t="s">
        <v>23</v>
      </c>
      <c r="D63" s="102">
        <v>4</v>
      </c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6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5" customHeight="1">
      <c r="K837" s="2"/>
      <c r="R837" s="3"/>
      <c r="S837" s="3"/>
      <c r="T837" s="3"/>
      <c r="U837" s="3"/>
      <c r="V837" s="3"/>
      <c r="W837" s="3"/>
    </row>
    <row r="838" spans="11:23" s="1" customFormat="1" ht="15" customHeight="1">
      <c r="K838" s="2"/>
      <c r="R838" s="3"/>
      <c r="S838" s="3"/>
      <c r="T838" s="3"/>
      <c r="U838" s="3"/>
      <c r="V838" s="3"/>
      <c r="W838" s="3"/>
    </row>
    <row r="839" spans="11:23" s="1" customFormat="1" ht="15" customHeight="1">
      <c r="K839" s="2"/>
      <c r="R839" s="3"/>
      <c r="S839" s="3"/>
      <c r="T839" s="3"/>
      <c r="U839" s="3"/>
      <c r="V839" s="3"/>
      <c r="W839" s="3"/>
    </row>
    <row r="840" spans="11:23" s="1" customFormat="1" ht="15" customHeight="1">
      <c r="K840" s="2"/>
      <c r="R840" s="3"/>
      <c r="S840" s="3"/>
      <c r="T840" s="3"/>
      <c r="U840" s="3"/>
      <c r="V840" s="3"/>
      <c r="W840" s="3"/>
    </row>
    <row r="841" spans="11:23" s="1" customFormat="1" ht="15" customHeight="1">
      <c r="K841" s="2"/>
      <c r="R841" s="3"/>
      <c r="S841" s="3"/>
      <c r="T841" s="3"/>
      <c r="U841" s="3"/>
      <c r="V841" s="3"/>
      <c r="W841" s="3"/>
    </row>
    <row r="842" spans="11:23" s="1" customFormat="1" ht="15" customHeight="1">
      <c r="K842" s="2"/>
      <c r="R842" s="3"/>
      <c r="S842" s="3"/>
      <c r="T842" s="3"/>
      <c r="U842" s="3"/>
      <c r="V842" s="3"/>
      <c r="W842" s="3"/>
    </row>
    <row r="843" spans="11:23" s="1" customFormat="1" ht="15" customHeight="1">
      <c r="K843" s="2"/>
      <c r="R843" s="3"/>
      <c r="S843" s="3"/>
      <c r="T843" s="3"/>
      <c r="U843" s="3"/>
      <c r="V843" s="3"/>
      <c r="W843" s="3"/>
    </row>
    <row r="844" spans="11:23" s="1" customFormat="1" ht="15" customHeight="1">
      <c r="K844" s="2"/>
      <c r="R844" s="3"/>
      <c r="S844" s="3"/>
      <c r="T844" s="3"/>
      <c r="U844" s="3"/>
      <c r="V844" s="3"/>
      <c r="W844" s="3"/>
    </row>
    <row r="845" spans="11:23" s="1" customFormat="1" ht="15" customHeight="1">
      <c r="K845" s="2"/>
      <c r="R845" s="3"/>
      <c r="S845" s="3"/>
      <c r="T845" s="3"/>
      <c r="U845" s="3"/>
      <c r="V845" s="3"/>
      <c r="W845" s="3"/>
    </row>
    <row r="846" spans="11:23" s="1" customFormat="1" ht="15" customHeight="1">
      <c r="K846" s="2"/>
      <c r="R846" s="3"/>
      <c r="S846" s="3"/>
      <c r="T846" s="3"/>
      <c r="U846" s="3"/>
      <c r="V846" s="3"/>
      <c r="W846" s="3"/>
    </row>
    <row r="847" spans="11:23" s="1" customFormat="1" ht="15" customHeight="1">
      <c r="K847" s="2"/>
      <c r="R847" s="3"/>
      <c r="S847" s="3"/>
      <c r="T847" s="3"/>
      <c r="U847" s="3"/>
      <c r="V847" s="3"/>
      <c r="W847" s="3"/>
    </row>
    <row r="848" spans="11:23" s="1" customFormat="1" ht="15" customHeight="1">
      <c r="K848" s="2"/>
      <c r="R848" s="3"/>
      <c r="S848" s="3"/>
      <c r="T848" s="3"/>
      <c r="U848" s="3"/>
      <c r="V848" s="3"/>
      <c r="W848" s="3"/>
    </row>
    <row r="849" spans="11:23" s="1" customFormat="1" ht="15" customHeight="1">
      <c r="K849" s="2"/>
      <c r="R849" s="3"/>
      <c r="S849" s="3"/>
      <c r="T849" s="3"/>
      <c r="U849" s="3"/>
      <c r="V849" s="3"/>
      <c r="W849" s="3"/>
    </row>
    <row r="850" spans="11:23" s="1" customFormat="1" ht="15" customHeight="1">
      <c r="K850" s="2"/>
      <c r="R850" s="3"/>
      <c r="S850" s="3"/>
      <c r="T850" s="3"/>
      <c r="U850" s="3"/>
      <c r="V850" s="3"/>
      <c r="W850" s="3"/>
    </row>
    <row r="851" spans="11:23" s="1" customFormat="1" ht="15" customHeight="1">
      <c r="K851" s="2"/>
      <c r="R851" s="3"/>
      <c r="S851" s="3"/>
      <c r="T851" s="3"/>
      <c r="U851" s="3"/>
      <c r="V851" s="3"/>
      <c r="W851" s="3"/>
    </row>
    <row r="852" spans="11:23" s="1" customFormat="1" ht="15" customHeight="1">
      <c r="K852" s="2"/>
      <c r="R852" s="3"/>
      <c r="S852" s="3"/>
      <c r="T852" s="3"/>
      <c r="U852" s="3"/>
      <c r="V852" s="3"/>
      <c r="W852" s="3"/>
    </row>
    <row r="853" spans="11:23" s="1" customFormat="1" ht="15" customHeight="1">
      <c r="K853" s="2"/>
      <c r="R853" s="3"/>
      <c r="S853" s="3"/>
      <c r="T853" s="3"/>
      <c r="U853" s="3"/>
      <c r="V853" s="3"/>
      <c r="W853" s="3"/>
    </row>
    <row r="854" spans="11:23" s="1" customFormat="1" ht="15" customHeight="1">
      <c r="K854" s="2"/>
      <c r="R854" s="3"/>
      <c r="S854" s="3"/>
      <c r="T854" s="3"/>
      <c r="U854" s="3"/>
      <c r="V854" s="3"/>
      <c r="W854" s="3"/>
    </row>
    <row r="855" spans="11:23" s="1" customFormat="1" ht="15" customHeight="1">
      <c r="K855" s="2"/>
      <c r="R855" s="3"/>
      <c r="S855" s="3"/>
      <c r="T855" s="3"/>
      <c r="U855" s="3"/>
      <c r="V855" s="3"/>
      <c r="W855" s="3"/>
    </row>
    <row r="856" spans="11:23" s="1" customFormat="1" ht="15" customHeight="1">
      <c r="K856" s="2"/>
      <c r="R856" s="3"/>
      <c r="S856" s="3"/>
      <c r="T856" s="3"/>
      <c r="U856" s="3"/>
      <c r="V856" s="3"/>
      <c r="W856" s="3"/>
    </row>
    <row r="857" spans="11:23" s="1" customFormat="1" ht="15" customHeight="1">
      <c r="K857" s="2"/>
      <c r="R857" s="3"/>
      <c r="S857" s="3"/>
      <c r="T857" s="3"/>
      <c r="U857" s="3"/>
      <c r="V857" s="3"/>
      <c r="W857" s="3"/>
    </row>
    <row r="858" spans="11:23" s="1" customFormat="1" ht="15" customHeight="1">
      <c r="K858" s="2"/>
      <c r="R858" s="3"/>
      <c r="S858" s="3"/>
      <c r="T858" s="3"/>
      <c r="U858" s="3"/>
      <c r="V858" s="3"/>
      <c r="W858" s="3"/>
    </row>
    <row r="859" spans="11:23" s="1" customFormat="1" ht="15" customHeight="1">
      <c r="K859" s="2"/>
      <c r="R859" s="3"/>
      <c r="S859" s="3"/>
      <c r="T859" s="3"/>
      <c r="U859" s="3"/>
      <c r="V859" s="3"/>
      <c r="W859" s="3"/>
    </row>
    <row r="860" spans="11:23" s="1" customFormat="1" ht="15" customHeight="1">
      <c r="K860" s="2"/>
      <c r="R860" s="3"/>
      <c r="S860" s="3"/>
      <c r="T860" s="3"/>
      <c r="U860" s="3"/>
      <c r="V860" s="3"/>
      <c r="W860" s="3"/>
    </row>
    <row r="861" spans="11:23" s="1" customFormat="1" ht="15" customHeight="1">
      <c r="K861" s="2"/>
      <c r="R861" s="3"/>
      <c r="S861" s="3"/>
      <c r="T861" s="3"/>
      <c r="U861" s="3"/>
      <c r="V861" s="3"/>
      <c r="W861" s="3"/>
    </row>
    <row r="862" spans="11:23" s="1" customFormat="1" ht="15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4.625" style="1" customWidth="1"/>
    <col min="9" max="9" width="13.5" style="2" customWidth="1"/>
    <col min="10" max="10" width="14.25" style="1" customWidth="1"/>
    <col min="11" max="11" width="12.375" style="1" customWidth="1"/>
    <col min="12" max="12" width="18.625" style="1" customWidth="1"/>
    <col min="13" max="13" width="9.375" style="1" customWidth="1"/>
    <col min="14" max="14" width="8.125" style="1" customWidth="1"/>
    <col min="15" max="15" width="7" style="1" customWidth="1"/>
    <col min="16" max="16" width="6.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67" t="s">
        <v>72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8" t="s">
        <v>1</v>
      </c>
      <c r="D2" s="368"/>
      <c r="E2" s="4" t="s">
        <v>2</v>
      </c>
      <c r="F2" s="369" t="s">
        <v>3</v>
      </c>
      <c r="G2" s="369"/>
      <c r="H2" s="5"/>
      <c r="I2" s="5"/>
      <c r="J2" s="5"/>
      <c r="K2" s="6"/>
      <c r="L2" s="370" t="s">
        <v>4</v>
      </c>
      <c r="M2" s="370"/>
      <c r="N2" s="370"/>
      <c r="O2" s="370"/>
      <c r="P2" s="370"/>
      <c r="Q2" s="370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4" t="s">
        <v>44</v>
      </c>
      <c r="G4" s="104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45691</v>
      </c>
      <c r="C5" s="32" t="s">
        <v>34</v>
      </c>
      <c r="D5" s="48" t="s">
        <v>34</v>
      </c>
      <c r="E5" s="105"/>
      <c r="F5" s="104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4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4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6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45697</v>
      </c>
      <c r="C11" s="23" t="s">
        <v>28</v>
      </c>
      <c r="D11" s="33" t="s">
        <v>27</v>
      </c>
      <c r="E11" s="104" t="s">
        <v>44</v>
      </c>
      <c r="F11" s="104" t="s">
        <v>23</v>
      </c>
      <c r="G11" s="104" t="s">
        <v>23</v>
      </c>
      <c r="H11" s="107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4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4" t="s">
        <v>29</v>
      </c>
      <c r="H13" s="47"/>
      <c r="I13" s="104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4" t="s">
        <v>23</v>
      </c>
      <c r="H15" s="32"/>
      <c r="I15" s="104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45702</v>
      </c>
      <c r="C16" s="54" t="s">
        <v>34</v>
      </c>
      <c r="D16" s="54" t="s">
        <v>34</v>
      </c>
      <c r="E16" s="108" t="s">
        <v>19</v>
      </c>
      <c r="F16" s="40" t="s">
        <v>37</v>
      </c>
      <c r="G16" s="104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9" t="s">
        <v>76</v>
      </c>
      <c r="R16" s="31"/>
      <c r="S16" s="3"/>
      <c r="T16" s="3"/>
    </row>
    <row r="17" spans="1:24" ht="12.75" customHeight="1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9" t="s">
        <v>77</v>
      </c>
      <c r="R17" s="31"/>
      <c r="S17" s="3"/>
      <c r="T17" s="3"/>
    </row>
    <row r="18" spans="1:24" ht="12.75" customHeight="1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4" t="s">
        <v>48</v>
      </c>
      <c r="G18" s="104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9" t="s">
        <v>79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4" t="s">
        <v>32</v>
      </c>
      <c r="G19" s="104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9" t="s">
        <v>77</v>
      </c>
      <c r="R19" s="31"/>
      <c r="S19" s="3"/>
      <c r="T19" s="3"/>
    </row>
    <row r="20" spans="1:24" ht="12.75" customHeight="1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4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9" t="s">
        <v>80</v>
      </c>
      <c r="R20" s="31"/>
      <c r="S20" s="3"/>
      <c r="T20" s="3"/>
    </row>
    <row r="21" spans="1:24" ht="12.75" customHeight="1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4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9" t="s">
        <v>79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45708</v>
      </c>
      <c r="C22" s="23" t="s">
        <v>36</v>
      </c>
      <c r="D22" s="23" t="s">
        <v>36</v>
      </c>
      <c r="E22" s="104" t="s">
        <v>32</v>
      </c>
      <c r="F22" s="23" t="s">
        <v>37</v>
      </c>
      <c r="G22" s="104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9" t="s">
        <v>81</v>
      </c>
      <c r="R22" s="31"/>
      <c r="S22" s="3"/>
      <c r="T22" s="3"/>
    </row>
    <row r="23" spans="1:24" ht="12.75" customHeight="1">
      <c r="A23" s="37" t="s">
        <v>41</v>
      </c>
      <c r="B23" s="38">
        <v>45709</v>
      </c>
      <c r="C23" s="40" t="s">
        <v>31</v>
      </c>
      <c r="D23" s="40" t="s">
        <v>31</v>
      </c>
      <c r="E23" s="110" t="s">
        <v>47</v>
      </c>
      <c r="F23" s="104" t="s">
        <v>23</v>
      </c>
      <c r="G23" s="104" t="s">
        <v>23</v>
      </c>
      <c r="H23" s="41"/>
      <c r="I23" s="41"/>
      <c r="J23" s="42"/>
      <c r="K23" s="43"/>
      <c r="L23" s="55"/>
      <c r="M23" s="55"/>
      <c r="N23" s="55"/>
      <c r="O23" s="55"/>
      <c r="P23" s="111" t="s">
        <v>76</v>
      </c>
      <c r="Q23" s="109" t="s">
        <v>82</v>
      </c>
      <c r="R23" s="31"/>
      <c r="S23" s="3"/>
      <c r="T23" s="3"/>
    </row>
    <row r="24" spans="1:24" ht="12.75" customHeight="1">
      <c r="A24" s="38" t="s">
        <v>43</v>
      </c>
      <c r="B24" s="38">
        <v>45710</v>
      </c>
      <c r="C24" s="58" t="s">
        <v>36</v>
      </c>
      <c r="D24" s="58" t="s">
        <v>36</v>
      </c>
      <c r="E24" s="104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1" t="s">
        <v>77</v>
      </c>
      <c r="Q24" s="112" t="s">
        <v>79</v>
      </c>
      <c r="R24" s="56"/>
      <c r="S24" s="3"/>
      <c r="T24" s="3"/>
    </row>
    <row r="25" spans="1:24" ht="12.75" customHeight="1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4" t="s">
        <v>23</v>
      </c>
      <c r="J25" s="23" t="s">
        <v>20</v>
      </c>
      <c r="K25" s="30"/>
      <c r="L25" s="61"/>
      <c r="M25" s="62"/>
      <c r="N25" s="30"/>
      <c r="O25" s="30"/>
      <c r="P25" s="111" t="s">
        <v>79</v>
      </c>
      <c r="Q25" s="112" t="s">
        <v>83</v>
      </c>
      <c r="R25" s="56"/>
      <c r="S25" s="3"/>
      <c r="T25" s="3"/>
    </row>
    <row r="26" spans="1:24" ht="13.5" customHeight="1">
      <c r="A26" s="21" t="s">
        <v>26</v>
      </c>
      <c r="B26" s="22">
        <v>45712</v>
      </c>
      <c r="C26" s="104" t="s">
        <v>23</v>
      </c>
      <c r="D26" s="23" t="s">
        <v>36</v>
      </c>
      <c r="E26" s="32" t="s">
        <v>31</v>
      </c>
      <c r="F26" s="104" t="s">
        <v>32</v>
      </c>
      <c r="G26" s="104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1" t="s">
        <v>77</v>
      </c>
      <c r="Q26" s="112" t="s">
        <v>84</v>
      </c>
      <c r="R26" s="56"/>
      <c r="S26" s="3"/>
      <c r="T26" s="3"/>
    </row>
    <row r="27" spans="1:24" ht="12.75" customHeight="1">
      <c r="A27" s="21" t="s">
        <v>30</v>
      </c>
      <c r="B27" s="22">
        <v>45713</v>
      </c>
      <c r="C27" s="32" t="s">
        <v>42</v>
      </c>
      <c r="D27" s="32" t="s">
        <v>42</v>
      </c>
      <c r="E27" s="104" t="s">
        <v>23</v>
      </c>
      <c r="F27" s="33" t="s">
        <v>37</v>
      </c>
      <c r="G27" s="104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1" t="s">
        <v>80</v>
      </c>
      <c r="Q27" s="112" t="s">
        <v>77</v>
      </c>
      <c r="R27" s="56"/>
      <c r="S27" s="3"/>
      <c r="T27" s="3"/>
    </row>
    <row r="28" spans="1:24" ht="12.75" customHeight="1">
      <c r="A28" s="22" t="s">
        <v>33</v>
      </c>
      <c r="B28" s="22">
        <v>45714</v>
      </c>
      <c r="C28" s="23" t="s">
        <v>34</v>
      </c>
      <c r="D28" s="23" t="s">
        <v>34</v>
      </c>
      <c r="E28" s="104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1" t="s">
        <v>79</v>
      </c>
      <c r="Q28" s="112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45715</v>
      </c>
      <c r="C29" s="32" t="s">
        <v>42</v>
      </c>
      <c r="D29" s="32" t="s">
        <v>42</v>
      </c>
      <c r="E29" s="104" t="s">
        <v>32</v>
      </c>
      <c r="F29" s="104" t="s">
        <v>23</v>
      </c>
      <c r="G29" s="104" t="s">
        <v>29</v>
      </c>
      <c r="H29" s="32"/>
      <c r="I29" s="104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1" t="s">
        <v>81</v>
      </c>
      <c r="Q29" s="112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45716</v>
      </c>
      <c r="C30" s="40" t="s">
        <v>20</v>
      </c>
      <c r="D30" s="40" t="s">
        <v>20</v>
      </c>
      <c r="E30" s="105"/>
      <c r="F30" s="108" t="s">
        <v>37</v>
      </c>
      <c r="G30" s="104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1" t="s">
        <v>87</v>
      </c>
      <c r="Q30" s="112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45717</v>
      </c>
      <c r="C31" s="39" t="s">
        <v>27</v>
      </c>
      <c r="D31" s="39" t="s">
        <v>27</v>
      </c>
      <c r="E31" s="104" t="s">
        <v>29</v>
      </c>
      <c r="F31" s="108" t="s">
        <v>47</v>
      </c>
      <c r="G31" s="104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3" t="s">
        <v>79</v>
      </c>
      <c r="Q31" s="112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70" t="s">
        <v>53</v>
      </c>
      <c r="B33" s="370"/>
      <c r="C33" s="370"/>
      <c r="D33" s="370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6" t="s">
        <v>57</v>
      </c>
      <c r="M35" s="77"/>
      <c r="N35" s="366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6" t="s">
        <v>63</v>
      </c>
      <c r="J36" s="366" t="s">
        <v>64</v>
      </c>
      <c r="K36" s="366" t="s">
        <v>65</v>
      </c>
      <c r="L36" s="366" t="s">
        <v>66</v>
      </c>
      <c r="M36" s="77" t="s">
        <v>67</v>
      </c>
      <c r="N36" s="366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6"/>
      <c r="J37" s="366"/>
      <c r="K37" s="85">
        <f t="shared" ref="K37:K55" si="0">D37*((9*$D$35)-($F$35*9/5))-(D37*(J37*1.8))</f>
        <v>9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f>COUNTIF($C$4:$C$31,"BOULAT")+COUNTIF($F$4:$F$31,"BOULAT")+COUNTIF($I$4:$I$31,"BOULAT")</f>
        <v>4</v>
      </c>
      <c r="F38" s="90">
        <f>COUNTIF($D$4:$D$31,"BOULAT")+COUNTIF($G$4:$G$31,"BOULAT")</f>
        <v>4</v>
      </c>
      <c r="G38" s="90">
        <f>COUNTIF($E$4:$E$31,"BOULAT")</f>
        <v>1</v>
      </c>
      <c r="H38" s="88"/>
      <c r="I38" s="90"/>
      <c r="J38" s="91">
        <v>5</v>
      </c>
      <c r="K38" s="92">
        <f t="shared" si="0"/>
        <v>27</v>
      </c>
      <c r="L38" s="91">
        <f>D38*((39*$D$35)-($F$35*39/5))-(J38*7.8)</f>
        <v>117</v>
      </c>
      <c r="M38" s="93">
        <f>E38*10+F38*14+G38*12</f>
        <v>108</v>
      </c>
      <c r="N38" s="91">
        <f t="shared" si="1"/>
        <v>-9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3</v>
      </c>
      <c r="K39" s="92">
        <f t="shared" si="0"/>
        <v>27.54</v>
      </c>
      <c r="L39" s="91">
        <f>D39*((39*$D$35)-($F$35*39/5))-(J39*7.02)</f>
        <v>119.34</v>
      </c>
      <c r="M39" s="93">
        <f>E39*10+F39*14+G39*12</f>
        <v>148</v>
      </c>
      <c r="N39" s="91">
        <f t="shared" si="1"/>
        <v>28.659999999999997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COUNTIF($C$4:$C$31,"CAUVY")+COUNTIF($I$4:$I$31,"CAUVY")+COUNTIF($F$4:$F$31,"CAUVY")</f>
        <v>2</v>
      </c>
      <c r="F40" s="90">
        <f>COUNTIF($D$4:$D$31,"CAUVY")+COUNTIF($G$4:$G$31,"CAUVY")</f>
        <v>0</v>
      </c>
      <c r="G40" s="90">
        <f>COUNTIF($E$4:$E$31,"CAUVY")</f>
        <v>3</v>
      </c>
      <c r="H40" s="90"/>
      <c r="I40" s="90">
        <f>COUNTIF($K$4:$K$31,"CAUVY")</f>
        <v>0</v>
      </c>
      <c r="J40" s="91"/>
      <c r="K40" s="92">
        <f t="shared" si="0"/>
        <v>18</v>
      </c>
      <c r="L40" s="91">
        <f t="shared" ref="L40:L55" si="2">D40*((39*$D$35)-($F$35*39/5))-(J40*7.8)</f>
        <v>78</v>
      </c>
      <c r="M40" s="93">
        <f>E40*10+F40*14+G40*12+I40*10</f>
        <v>56</v>
      </c>
      <c r="N40" s="91">
        <f t="shared" si="1"/>
        <v>-22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6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142</v>
      </c>
      <c r="N41" s="91">
        <f t="shared" si="1"/>
        <v>17.199999999999989</v>
      </c>
      <c r="O41" s="3"/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3</v>
      </c>
      <c r="F42" s="90">
        <f>COUNTIF($D$4:$D$31,"KANTCHE")+COUNTIF($G$4:$G$31,"KANTCHE")</f>
        <v>1</v>
      </c>
      <c r="G42" s="90">
        <f>COUNTIF($E$4:$E$31,"KANTCHE")</f>
        <v>2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68</v>
      </c>
      <c r="N42" s="91">
        <f t="shared" si="1"/>
        <v>-25.599999999999994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6</v>
      </c>
      <c r="F43" s="90">
        <f>COUNTIF($D$4:$D$31,"ORIOLI")+COUNTIF($G$4:$G$31,"ORIOLI")</f>
        <v>6</v>
      </c>
      <c r="G43" s="90">
        <f>COUNTIF($E$4:$E$31,"ORIOLI")</f>
        <v>0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144</v>
      </c>
      <c r="N43" s="91">
        <f t="shared" si="1"/>
        <v>-12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COUNTIF($C$4:$C$31,"TKATCHOUK")+COUNTIF($F$4:$F$31,"TKATCHOUK")+COUNTIF($I$4:$I$31,"TKATCHOUK")</f>
        <v>2</v>
      </c>
      <c r="F44" s="90">
        <f>COUNTIF($D$4:$D$31,"TKATCHOUK")+COUNTIF($G$4:$G$31,"TKATCHOUK")</f>
        <v>0</v>
      </c>
      <c r="G44" s="90">
        <f>COUNTIF($E$4:$E$31,"TKATCHOUK")</f>
        <v>4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68</v>
      </c>
      <c r="N44" s="91">
        <f t="shared" si="1"/>
        <v>-10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COUNTIF($C$4:$C$31,"TORREGROSSA")+COUNTIF($F$4:$F$31,"TORREGROSSA")+COUNTIF($I$4:$I$31,"TORREGROSSA")</f>
        <v>1</v>
      </c>
      <c r="F45" s="90">
        <f>COUNTIF($D$4:$D$31,"TORREGROSSA")+COUNTIF($G$4:$G$31,"TORREGROSSA")</f>
        <v>4</v>
      </c>
      <c r="G45" s="90">
        <f>COUNTIF($E$4:$E$31,"TORREGROSSA")</f>
        <v>1</v>
      </c>
      <c r="H45" s="90">
        <f>COUNTIF($J$4:$J$31,"TORREGROSSA")</f>
        <v>8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158</v>
      </c>
      <c r="N45" s="91">
        <f t="shared" si="1"/>
        <v>2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0</v>
      </c>
      <c r="F46" s="90">
        <f>COUNTIF($D$4:$D$31,"BALLOT")+COUNTIF($G$4:$G$31,"BALLOT")</f>
        <v>0</v>
      </c>
      <c r="G46" s="90">
        <f>COUNTIF($E$4:$E$31,"BALLOT")</f>
        <v>7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84</v>
      </c>
      <c r="N46" s="91">
        <f t="shared" si="1"/>
        <v>21.599999999999994</v>
      </c>
      <c r="O46" s="3"/>
      <c r="P46" s="3"/>
      <c r="Q46" s="3"/>
    </row>
    <row r="47" spans="1:23" ht="12" customHeight="1">
      <c r="A47" s="3"/>
      <c r="B47" s="3"/>
      <c r="C47" s="114" t="s">
        <v>37</v>
      </c>
      <c r="D47" s="95">
        <v>0.4</v>
      </c>
      <c r="E47" s="90">
        <f>COUNTIF($C$4:$C$31,"MOREL")+COUNTIF($F$4:$F$31,"MOREL")+COUNTIF($I$4:$I$31,"MOREL")</f>
        <v>8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80</v>
      </c>
      <c r="N47" s="91">
        <f t="shared" si="1"/>
        <v>17.599999999999994</v>
      </c>
      <c r="O47" s="3"/>
      <c r="P47" s="3"/>
      <c r="Q47" s="3"/>
    </row>
    <row r="48" spans="1:23" ht="12" customHeight="1">
      <c r="A48" s="3"/>
      <c r="B48" s="3"/>
      <c r="C48" s="115" t="s">
        <v>27</v>
      </c>
      <c r="D48" s="116">
        <v>0.8</v>
      </c>
      <c r="E48" s="90">
        <f>COUNTIF($C$4:$C$31,"RACHIDI")+COUNTIF($F$4:$F$31,"RACHIDI")+COUNTIF($I$4:$I$31,"RACHIDI")</f>
        <v>4</v>
      </c>
      <c r="F48" s="90">
        <f>COUNTIF($D$4:$D$31,"RACHIDI")+COUNTIF($G$4:$G$31,"RACHIDI")</f>
        <v>5</v>
      </c>
      <c r="G48" s="90">
        <f>COUNTIF($E$4:$E$31,"RACHIDI")</f>
        <v>0</v>
      </c>
      <c r="H48" s="90"/>
      <c r="I48" s="91"/>
      <c r="J48" s="91">
        <v>4</v>
      </c>
      <c r="K48" s="92">
        <f t="shared" si="0"/>
        <v>23.04</v>
      </c>
      <c r="L48" s="91">
        <f t="shared" si="2"/>
        <v>93.600000000000009</v>
      </c>
      <c r="M48" s="93">
        <f t="shared" si="3"/>
        <v>110</v>
      </c>
      <c r="N48" s="91">
        <f t="shared" si="1"/>
        <v>16.399999999999991</v>
      </c>
      <c r="O48" s="3"/>
      <c r="P48" s="3"/>
      <c r="Q48" s="3"/>
    </row>
    <row r="49" spans="1:23" ht="12" customHeight="1">
      <c r="A49" s="3"/>
      <c r="B49" s="3"/>
      <c r="C49" s="117" t="s">
        <v>34</v>
      </c>
      <c r="D49" s="95">
        <v>1</v>
      </c>
      <c r="E49" s="90">
        <f>COUNTIF($C$4:$C$31,"ZEBICHE")+COUNTIF($F$4:$F$31,"ZEBICHE")+COUNTIF($I$4:$I$31,"ZEBICHE")</f>
        <v>6</v>
      </c>
      <c r="F49" s="90">
        <f>COUNTIF($D$4:$D$31,"ZEBICHE")+COUNTIF($G$4:$G$31,"ZEBICHE")</f>
        <v>6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144</v>
      </c>
      <c r="N49" s="91">
        <f t="shared" si="1"/>
        <v>-12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v>11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166</v>
      </c>
      <c r="N50" s="91">
        <f t="shared" si="1"/>
        <v>10</v>
      </c>
      <c r="O50" s="3"/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4</v>
      </c>
      <c r="F51" s="90">
        <v>5</v>
      </c>
      <c r="G51" s="90">
        <v>1</v>
      </c>
      <c r="H51" s="90"/>
      <c r="I51" s="91"/>
      <c r="J51" s="91">
        <v>4</v>
      </c>
      <c r="K51" s="92">
        <f t="shared" si="0"/>
        <v>28.8</v>
      </c>
      <c r="L51" s="91">
        <f t="shared" si="2"/>
        <v>124.8</v>
      </c>
      <c r="M51" s="93">
        <f t="shared" si="3"/>
        <v>122</v>
      </c>
      <c r="N51" s="91">
        <f t="shared" si="1"/>
        <v>-2.7999999999999972</v>
      </c>
    </row>
    <row r="52" spans="1:23" ht="12" customHeight="1">
      <c r="A52" s="3"/>
      <c r="B52" s="96"/>
      <c r="C52" s="91" t="s">
        <v>48</v>
      </c>
      <c r="D52" s="95">
        <v>1</v>
      </c>
      <c r="E52" s="90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4</v>
      </c>
      <c r="G52" s="90">
        <f>COUNTIF($E$4:$E$31,"AFZAL")</f>
        <v>0</v>
      </c>
      <c r="H52" s="90"/>
      <c r="I52" s="91"/>
      <c r="J52" s="91"/>
      <c r="K52" s="92">
        <f t="shared" si="0"/>
        <v>36</v>
      </c>
      <c r="L52" s="91">
        <f t="shared" si="2"/>
        <v>156</v>
      </c>
      <c r="M52" s="93">
        <f t="shared" si="3"/>
        <v>166</v>
      </c>
      <c r="N52" s="91">
        <f t="shared" si="1"/>
        <v>10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f>COUNTIF($C$4:$C$31,"IBRAHIM")+COUNTIF($H$4:$H$31,"IBRAHIM")+COUNTIF($I$4:$I$31,"IBRAHIM")+COUNTIF($F$4:$F$31,"IBRAHIM")+D62</f>
        <v>3</v>
      </c>
      <c r="F53" s="90">
        <f>COUNTIF($D$4:$D$31,"IBRAHIM")+COUNTIF($H$4:$H$31,"IBRAHIM")+COUNTIF($G$4:$G$31,"IBRAHIM")</f>
        <v>5</v>
      </c>
      <c r="G53" s="90">
        <f>COUNTIF($E$4:$E$31,"IBRAHIM")</f>
        <v>1</v>
      </c>
      <c r="H53" s="90"/>
      <c r="I53" s="91"/>
      <c r="J53" s="91"/>
      <c r="K53" s="92">
        <f t="shared" si="0"/>
        <v>36</v>
      </c>
      <c r="L53" s="91">
        <f t="shared" si="2"/>
        <v>156</v>
      </c>
      <c r="M53" s="93">
        <f t="shared" si="3"/>
        <v>112</v>
      </c>
      <c r="N53" s="91">
        <f t="shared" si="1"/>
        <v>-44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f>COUNTIF($C$4:$C$31,"IMAD")+COUNTIF($H$4:$H$31,"IMAD")+COUNTIF($I$4:$I$31,"IMAD")+COUNTIF($F$4:$F$31,"IMAD")+D63</f>
        <v>8</v>
      </c>
      <c r="F54" s="90">
        <f>COUNTIF($D$4:$D$31,"IMAD")+COUNTIF($H$4:$H$31,"IMAD")+COUNTIF($G$4:$G$31,"IMAD")</f>
        <v>5</v>
      </c>
      <c r="G54" s="90">
        <f>COUNTIF($E$4:$E$31,"IMAD")</f>
        <v>1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162</v>
      </c>
      <c r="N54" s="91">
        <f t="shared" si="1"/>
        <v>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v>5</v>
      </c>
      <c r="G55" s="90">
        <f>COUNTIF($E$4:$E$31,"RADO")</f>
        <v>3</v>
      </c>
      <c r="H55" s="90"/>
      <c r="I55" s="91"/>
      <c r="J55" s="91"/>
      <c r="K55" s="92">
        <f t="shared" si="0"/>
        <v>36</v>
      </c>
      <c r="L55" s="91">
        <f t="shared" si="2"/>
        <v>156</v>
      </c>
      <c r="M55" s="93">
        <f t="shared" si="3"/>
        <v>156</v>
      </c>
      <c r="N55" s="91">
        <f t="shared" si="1"/>
        <v>0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7" t="s">
        <v>22</v>
      </c>
      <c r="D59" s="102">
        <v>8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7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7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7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7" t="s">
        <v>23</v>
      </c>
      <c r="D63" s="102"/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7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625" style="1" customWidth="1"/>
    <col min="9" max="9" width="16.125" style="2" customWidth="1"/>
    <col min="10" max="10" width="14.125" style="1" customWidth="1"/>
    <col min="11" max="11" width="6.875" style="1" customWidth="1"/>
    <col min="12" max="12" width="22.625" style="1" customWidth="1"/>
    <col min="13" max="13" width="14.625" style="1" customWidth="1"/>
    <col min="14" max="14" width="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7" t="s">
        <v>89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8" t="s">
        <v>1</v>
      </c>
      <c r="D2" s="368"/>
      <c r="E2" s="4" t="s">
        <v>2</v>
      </c>
      <c r="F2" s="369" t="s">
        <v>3</v>
      </c>
      <c r="G2" s="369"/>
      <c r="H2" s="5"/>
      <c r="I2" s="5"/>
      <c r="J2" s="5"/>
      <c r="K2" s="6"/>
      <c r="L2" s="370" t="s">
        <v>4</v>
      </c>
      <c r="M2" s="370"/>
      <c r="N2" s="370"/>
      <c r="O2" s="370"/>
      <c r="P2" s="370"/>
      <c r="Q2" s="370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45718</v>
      </c>
      <c r="C4" s="32" t="s">
        <v>34</v>
      </c>
      <c r="D4" s="32" t="s">
        <v>36</v>
      </c>
      <c r="E4" s="104" t="s">
        <v>32</v>
      </c>
      <c r="F4" s="104" t="s">
        <v>44</v>
      </c>
      <c r="G4" s="104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3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4" t="s">
        <v>29</v>
      </c>
      <c r="G5" s="104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3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45720</v>
      </c>
      <c r="C6" s="23" t="s">
        <v>20</v>
      </c>
      <c r="D6" s="32" t="s">
        <v>36</v>
      </c>
      <c r="E6" s="104" t="s">
        <v>44</v>
      </c>
      <c r="F6" s="23" t="s">
        <v>37</v>
      </c>
      <c r="G6" s="104" t="s">
        <v>23</v>
      </c>
      <c r="H6" s="32"/>
      <c r="I6" s="104" t="s">
        <v>32</v>
      </c>
      <c r="J6" s="32"/>
      <c r="K6" s="36"/>
      <c r="L6" s="29" t="s">
        <v>90</v>
      </c>
      <c r="M6" s="34"/>
      <c r="N6" s="35"/>
      <c r="O6" s="30" t="s">
        <v>91</v>
      </c>
      <c r="P6" s="113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45721</v>
      </c>
      <c r="C7" s="104" t="s">
        <v>29</v>
      </c>
      <c r="D7" s="32" t="s">
        <v>36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3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45722</v>
      </c>
      <c r="C8" s="23" t="s">
        <v>38</v>
      </c>
      <c r="D8" s="23" t="s">
        <v>38</v>
      </c>
      <c r="E8" s="104" t="s">
        <v>44</v>
      </c>
      <c r="F8" s="23" t="s">
        <v>37</v>
      </c>
      <c r="G8" s="104" t="s">
        <v>29</v>
      </c>
      <c r="H8" s="27"/>
      <c r="I8" s="104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3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4" t="s">
        <v>22</v>
      </c>
      <c r="G9" s="104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3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45724</v>
      </c>
      <c r="C10" s="40" t="s">
        <v>42</v>
      </c>
      <c r="D10" s="40" t="s">
        <v>42</v>
      </c>
      <c r="E10" s="104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1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4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4" t="s">
        <v>29</v>
      </c>
      <c r="H13" s="118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9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45729</v>
      </c>
      <c r="C15" s="23" t="s">
        <v>20</v>
      </c>
      <c r="D15" s="23" t="s">
        <v>28</v>
      </c>
      <c r="E15" s="104" t="s">
        <v>22</v>
      </c>
      <c r="F15" s="104" t="s">
        <v>44</v>
      </c>
      <c r="G15" s="104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45730</v>
      </c>
      <c r="C16" s="54" t="s">
        <v>34</v>
      </c>
      <c r="D16" s="41" t="s">
        <v>34</v>
      </c>
      <c r="E16" s="108" t="s">
        <v>19</v>
      </c>
      <c r="F16" s="104" t="s">
        <v>22</v>
      </c>
      <c r="G16" s="104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4" t="s">
        <v>23</v>
      </c>
      <c r="G17" s="104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45732</v>
      </c>
      <c r="C18" s="23" t="s">
        <v>28</v>
      </c>
      <c r="D18" s="32" t="s">
        <v>42</v>
      </c>
      <c r="E18" s="120"/>
      <c r="F18" s="33" t="s">
        <v>37</v>
      </c>
      <c r="G18" s="104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4" t="s">
        <v>32</v>
      </c>
      <c r="G19" s="104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45735</v>
      </c>
      <c r="C21" s="104" t="s">
        <v>44</v>
      </c>
      <c r="D21" s="32" t="s">
        <v>34</v>
      </c>
      <c r="E21" s="33" t="s">
        <v>47</v>
      </c>
      <c r="F21" s="104" t="s">
        <v>32</v>
      </c>
      <c r="G21" s="104" t="s">
        <v>32</v>
      </c>
      <c r="H21" s="121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45737</v>
      </c>
      <c r="C23" s="41" t="s">
        <v>31</v>
      </c>
      <c r="D23" s="41" t="s">
        <v>31</v>
      </c>
      <c r="E23" s="110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2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4" t="s">
        <v>22</v>
      </c>
      <c r="G25" s="104" t="s">
        <v>22</v>
      </c>
      <c r="H25" s="46" t="s">
        <v>44</v>
      </c>
      <c r="I25" s="123"/>
      <c r="J25" s="123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4" t="s">
        <v>48</v>
      </c>
      <c r="G26" s="104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4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4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4" t="s">
        <v>22</v>
      </c>
      <c r="G29" s="104" t="s">
        <v>22</v>
      </c>
      <c r="H29" s="32"/>
      <c r="I29" s="104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45744</v>
      </c>
      <c r="C30" s="40" t="s">
        <v>20</v>
      </c>
      <c r="D30" s="41" t="s">
        <v>34</v>
      </c>
      <c r="E30" s="104" t="s">
        <v>23</v>
      </c>
      <c r="F30" s="108" t="s">
        <v>37</v>
      </c>
      <c r="G30" s="104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4" t="s">
        <v>32</v>
      </c>
      <c r="G32" s="104" t="s">
        <v>32</v>
      </c>
      <c r="H32" s="25" t="s">
        <v>48</v>
      </c>
      <c r="I32" s="23"/>
      <c r="J32" s="23"/>
      <c r="K32" s="32"/>
      <c r="L32" s="66"/>
      <c r="M32" s="124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4" t="s">
        <v>29</v>
      </c>
      <c r="G33" s="104" t="s">
        <v>29</v>
      </c>
      <c r="H33" s="125"/>
      <c r="I33" s="104" t="s">
        <v>23</v>
      </c>
      <c r="J33" s="126"/>
      <c r="K33" s="33"/>
      <c r="L33" s="61"/>
      <c r="M33" s="124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7" t="s">
        <v>36</v>
      </c>
      <c r="G34" s="32" t="s">
        <v>36</v>
      </c>
      <c r="H34" s="125"/>
      <c r="I34" s="104" t="s">
        <v>44</v>
      </c>
      <c r="J34" s="33"/>
      <c r="K34" s="128"/>
      <c r="L34" s="66"/>
      <c r="M34" s="124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4" t="s">
        <v>22</v>
      </c>
      <c r="H35" s="125"/>
      <c r="I35" s="32" t="s">
        <v>28</v>
      </c>
      <c r="J35" s="126"/>
      <c r="K35" s="36"/>
      <c r="L35" s="66"/>
      <c r="M35" s="124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45750</v>
      </c>
      <c r="C36" s="33" t="s">
        <v>34</v>
      </c>
      <c r="D36" s="32" t="s">
        <v>34</v>
      </c>
      <c r="E36" s="120"/>
      <c r="F36" s="23" t="s">
        <v>38</v>
      </c>
      <c r="G36" s="23" t="s">
        <v>38</v>
      </c>
      <c r="H36" s="125"/>
      <c r="I36" s="104" t="s">
        <v>44</v>
      </c>
      <c r="J36" s="126"/>
      <c r="K36" s="128"/>
      <c r="L36" s="66"/>
      <c r="M36" s="124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4" t="s">
        <v>29</v>
      </c>
      <c r="H37" s="41"/>
      <c r="I37" s="129"/>
      <c r="J37" s="42"/>
      <c r="K37" s="130"/>
      <c r="L37" s="131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4" t="s">
        <v>44</v>
      </c>
      <c r="G38" s="104" t="s">
        <v>44</v>
      </c>
      <c r="H38" s="119" t="s">
        <v>22</v>
      </c>
      <c r="I38" s="129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70" t="s">
        <v>53</v>
      </c>
      <c r="B40" s="370"/>
      <c r="C40" s="370"/>
      <c r="D40" s="370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6" t="s">
        <v>57</v>
      </c>
      <c r="M42" s="77"/>
      <c r="N42" s="366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6" t="s">
        <v>63</v>
      </c>
      <c r="J43" s="366" t="s">
        <v>64</v>
      </c>
      <c r="K43" s="366" t="s">
        <v>65</v>
      </c>
      <c r="L43" s="366" t="s">
        <v>66</v>
      </c>
      <c r="M43" s="77" t="s">
        <v>67</v>
      </c>
      <c r="N43" s="366" t="s">
        <v>68</v>
      </c>
      <c r="O43" s="78"/>
      <c r="P43" s="78"/>
    </row>
    <row r="44" spans="1:23" ht="12.75" customHeight="1">
      <c r="A44" s="73"/>
      <c r="B44" s="73"/>
      <c r="C44" s="82" t="s">
        <v>69</v>
      </c>
      <c r="D44" s="83">
        <v>0.25</v>
      </c>
      <c r="E44" s="84">
        <f>COUNTIF($C$4:$C$38,"BIENTZ")+COUNTIF($F$4:$F$38,"BIENTZ")</f>
        <v>0</v>
      </c>
      <c r="F44" s="84">
        <f>COUNTIF($D$4:$D$38,"BIENTZ")+COUNTIF($G$4:$G$38,"BIENTZ")</f>
        <v>0</v>
      </c>
      <c r="G44" s="84">
        <f>COUNTIF($E$4:$E$38,"BIENTZ")</f>
        <v>0</v>
      </c>
      <c r="H44" s="79"/>
      <c r="I44" s="366"/>
      <c r="J44" s="366"/>
      <c r="K44" s="85">
        <f t="shared" ref="K44:K56" si="0">D44*((9*$D$42)-($F$42*9/5))-(D44*(J44*1.8))</f>
        <v>11.25</v>
      </c>
      <c r="L44" s="86">
        <v>31.2</v>
      </c>
      <c r="M44" s="87">
        <f>E44*10+F44*14+G44*12</f>
        <v>0</v>
      </c>
      <c r="N44" s="86">
        <f t="shared" ref="N44:N62" si="1">M44-L44</f>
        <v>-31.2</v>
      </c>
      <c r="O44" s="3"/>
      <c r="P44" s="3"/>
    </row>
    <row r="45" spans="1:23" ht="12.75" customHeight="1">
      <c r="A45" s="73"/>
      <c r="B45" s="73"/>
      <c r="C45" s="88" t="s">
        <v>38</v>
      </c>
      <c r="D45" s="89">
        <v>1</v>
      </c>
      <c r="E45" s="90">
        <f>COUNTIF($C$4:$C$38,"BOULAT")+COUNTIF($I$4:$I$38,"BOULAT")+COUNTIF($F$4:$F$38,"BOULAT")</f>
        <v>7</v>
      </c>
      <c r="F45" s="90">
        <f>COUNTIF($D$4:$D$38,"BOULAT")+COUNTIF($G$4:$G$38,"BOULAT")</f>
        <v>7</v>
      </c>
      <c r="G45" s="90">
        <f>COUNTIF($E$4:$E$38,"BOULAT")</f>
        <v>0</v>
      </c>
      <c r="H45" s="88"/>
      <c r="I45" s="90"/>
      <c r="J45" s="91">
        <v>4</v>
      </c>
      <c r="K45" s="92">
        <f t="shared" si="0"/>
        <v>37.799999999999997</v>
      </c>
      <c r="L45" s="91">
        <f>D45*((39*$D$42)-($F$42*39/5))-(J45*7.8)</f>
        <v>163.80000000000001</v>
      </c>
      <c r="M45" s="93">
        <f>E45*10+F45*14+G45*12</f>
        <v>168</v>
      </c>
      <c r="N45" s="91">
        <f t="shared" si="1"/>
        <v>4.1999999999999886</v>
      </c>
      <c r="O45" s="3"/>
      <c r="P45" s="3"/>
    </row>
    <row r="46" spans="1:23" ht="12" customHeight="1">
      <c r="A46" s="73"/>
      <c r="B46" s="73"/>
      <c r="C46" s="88" t="s">
        <v>36</v>
      </c>
      <c r="D46" s="89">
        <v>1</v>
      </c>
      <c r="E46" s="90">
        <f>COUNTIF($C$4:$C$38,"BRUGIROUX")+COUNTIF($I$4:$I$38,"BRUGIROUX")+COUNTIF($F$4:$F$38,"BRUGIROUX")</f>
        <v>5</v>
      </c>
      <c r="F46" s="90">
        <f>COUNTIF($D$4:$D$38,"BRUGIROUX")+COUNTIF($G$4:$G$38,"BRUGIROUX")</f>
        <v>11</v>
      </c>
      <c r="G46" s="90">
        <f>COUNTIF($E$4:$E$38,"BRUGIROUX")</f>
        <v>0</v>
      </c>
      <c r="H46" s="88">
        <v>2</v>
      </c>
      <c r="I46" s="90"/>
      <c r="J46" s="91"/>
      <c r="K46" s="92">
        <f t="shared" si="0"/>
        <v>45</v>
      </c>
      <c r="L46" s="91">
        <f>D46*((39*$D$42)-($F$42*39/5))-(J46*7.8)</f>
        <v>195</v>
      </c>
      <c r="M46" s="93">
        <f>E46*10+F46*14+G46*12+H46*10</f>
        <v>224</v>
      </c>
      <c r="N46" s="91">
        <f t="shared" si="1"/>
        <v>29</v>
      </c>
      <c r="O46" s="3"/>
      <c r="P46" s="3"/>
    </row>
    <row r="47" spans="1:23" ht="12" customHeight="1">
      <c r="A47" s="73"/>
      <c r="B47" s="73"/>
      <c r="C47" s="88" t="s">
        <v>21</v>
      </c>
      <c r="D47" s="94">
        <v>0.5</v>
      </c>
      <c r="E47" s="90">
        <f>COUNTIF($C$4:$C$38,"CAUVY")+COUNTIF($I$4:$I$38,"CAUVY")+COUNTIF($F$4:$F$38,"CAUVY")</f>
        <v>2</v>
      </c>
      <c r="F47" s="90">
        <f>COUNTIF($D$4:$D$38,"CAUVY")+COUNTIF($G$4:$G$38,"CAUVY")</f>
        <v>0</v>
      </c>
      <c r="G47" s="90">
        <f>COUNTIF($E$4:$E$38,"CAUVY")</f>
        <v>7</v>
      </c>
      <c r="H47" s="90"/>
      <c r="I47" s="90">
        <f>COUNTIF($K$4:$K$38,"CAUVY")</f>
        <v>0</v>
      </c>
      <c r="J47" s="91">
        <v>5</v>
      </c>
      <c r="K47" s="92">
        <f t="shared" si="0"/>
        <v>18</v>
      </c>
      <c r="L47" s="91">
        <f>D47*((39*$D$42)-($F$42*39/5))-(J47*3.9)</f>
        <v>78</v>
      </c>
      <c r="M47" s="93">
        <f>E47*10+F47*14+G47*12+I47*10</f>
        <v>104</v>
      </c>
      <c r="N47" s="91">
        <f t="shared" si="1"/>
        <v>26</v>
      </c>
      <c r="O47" s="3"/>
      <c r="P47" s="3"/>
    </row>
    <row r="48" spans="1:23" ht="12" customHeight="1">
      <c r="A48" s="73"/>
      <c r="B48" s="73"/>
      <c r="C48" s="88" t="s">
        <v>31</v>
      </c>
      <c r="D48" s="94">
        <v>0.8</v>
      </c>
      <c r="E48" s="90">
        <f>COUNTIF($C$4:$C$38,"FONTAINE")+COUNTIF($F$4:$F$38,"FONTAINE")+COUNTIF($I$4:$I$38,"FONTAINE")</f>
        <v>6</v>
      </c>
      <c r="F48" s="90">
        <f>COUNTIF($D$4:$D$38,"FONTAINE")+COUNTIF($G$4:$G$38,"FONTAINE")</f>
        <v>6</v>
      </c>
      <c r="G48" s="90">
        <f>COUNTIF($E$4:$E$38,"FONTAINE")</f>
        <v>0</v>
      </c>
      <c r="H48" s="88"/>
      <c r="I48" s="90"/>
      <c r="J48" s="91">
        <v>5</v>
      </c>
      <c r="K48" s="92">
        <f t="shared" si="0"/>
        <v>28.8</v>
      </c>
      <c r="L48" s="91">
        <f>D48*((39*$D$42)-($F$42*39/5))-(J48*7.8)</f>
        <v>117</v>
      </c>
      <c r="M48" s="93">
        <f>E48*10+F48*14+G48*12</f>
        <v>144</v>
      </c>
      <c r="N48" s="91">
        <f t="shared" si="1"/>
        <v>27</v>
      </c>
      <c r="O48" s="3"/>
      <c r="P48" s="3"/>
    </row>
    <row r="49" spans="1:17" ht="12" customHeight="1">
      <c r="A49" s="3"/>
      <c r="B49" s="3"/>
      <c r="C49" s="91" t="s">
        <v>28</v>
      </c>
      <c r="D49" s="95">
        <v>0.6</v>
      </c>
      <c r="E49" s="90">
        <f>COUNTIF($C$4:$C$38,"KANTCHE")+COUNTIF($I$4:$I$38,"KANTCHE")+COUNTIF($F$4:$F$38,"KANTCHE")</f>
        <v>6</v>
      </c>
      <c r="F49" s="90">
        <f>COUNTIF($D$4:$D$38,"KANTCHE")+COUNTIF($G$4:$G$38,"KANTCHE")</f>
        <v>2</v>
      </c>
      <c r="G49" s="90">
        <f>COUNTIF($E$4:$E$38,"KANTCHE")</f>
        <v>0</v>
      </c>
      <c r="H49" s="91"/>
      <c r="I49" s="91"/>
      <c r="J49" s="91">
        <v>3</v>
      </c>
      <c r="K49" s="92">
        <f t="shared" si="0"/>
        <v>23.759999999999998</v>
      </c>
      <c r="L49" s="91">
        <f>D49*((39*$D$42)-($F$42*39/5))-(J49*4.68)</f>
        <v>102.96000000000001</v>
      </c>
      <c r="M49" s="93">
        <f>E49*10+F49*14+G49*12</f>
        <v>88</v>
      </c>
      <c r="N49" s="91">
        <f t="shared" si="1"/>
        <v>-14.960000000000008</v>
      </c>
      <c r="O49" s="3"/>
      <c r="P49" s="3"/>
      <c r="Q49" s="3"/>
    </row>
    <row r="50" spans="1:17" ht="12" customHeight="1">
      <c r="A50" s="3"/>
      <c r="B50" s="3"/>
      <c r="C50" s="91" t="s">
        <v>42</v>
      </c>
      <c r="D50" s="95">
        <v>1</v>
      </c>
      <c r="E50" s="90">
        <f>COUNTIF($C$4:$C$38,"ORIOLI")+COUNTIF($I$4:$I$38,"ORIOLI")+COUNTIF($F$4:$F$38,"ORIOLI")</f>
        <v>6</v>
      </c>
      <c r="F50" s="90">
        <f>COUNTIF($D$4:$D$38,"ORIOLI")+COUNTIF($G$4:$G$38,"ORIOLI")</f>
        <v>7</v>
      </c>
      <c r="G50" s="90">
        <f>COUNTIF($E$4:$E$38,"ORIOLI")</f>
        <v>0</v>
      </c>
      <c r="H50" s="91"/>
      <c r="I50" s="91"/>
      <c r="J50" s="91">
        <v>5</v>
      </c>
      <c r="K50" s="92">
        <f t="shared" si="0"/>
        <v>36</v>
      </c>
      <c r="L50" s="91">
        <f t="shared" ref="L50:L62" si="2">D50*((39*$D$42)-($F$42*39/5))-(J50*7.8)</f>
        <v>156</v>
      </c>
      <c r="M50" s="93">
        <f>E50*10+F50*14+G50*12</f>
        <v>158</v>
      </c>
      <c r="N50" s="91">
        <f t="shared" si="1"/>
        <v>2</v>
      </c>
      <c r="O50" s="3"/>
      <c r="P50" s="3"/>
      <c r="Q50" s="3"/>
    </row>
    <row r="51" spans="1:17" ht="12" customHeight="1">
      <c r="A51" s="3"/>
      <c r="B51" s="3"/>
      <c r="C51" s="91" t="s">
        <v>47</v>
      </c>
      <c r="D51" s="95">
        <v>0.5</v>
      </c>
      <c r="E51" s="90">
        <f>COUNTIF($C$4:$C$38,"TKATCHOUK")+COUNTIF($I$4:$I$38,"TKATCHOUK")+COUNTIF($F$4:$F$38,"TKATCHOUK")</f>
        <v>0</v>
      </c>
      <c r="F51" s="90">
        <f>COUNTIF($D$4:$D$38,"TKATCHOUK")+COUNTIF($G$4:$G$38,"TKATCHOUK")</f>
        <v>0</v>
      </c>
      <c r="G51" s="97">
        <f>+COUNTIF($E$4:$E$38,"TKATCHOUK")</f>
        <v>10</v>
      </c>
      <c r="H51" s="91"/>
      <c r="I51" s="91"/>
      <c r="J51" s="91"/>
      <c r="K51" s="92">
        <f t="shared" si="0"/>
        <v>22.5</v>
      </c>
      <c r="L51" s="91">
        <f t="shared" si="2"/>
        <v>97.5</v>
      </c>
      <c r="M51" s="93">
        <f>E51*10+F51*14+G51*12</f>
        <v>120</v>
      </c>
      <c r="N51" s="91">
        <f t="shared" si="1"/>
        <v>22.5</v>
      </c>
      <c r="O51" s="3"/>
      <c r="P51" s="3"/>
      <c r="Q51" s="3"/>
    </row>
    <row r="52" spans="1:17" ht="12.75" customHeight="1">
      <c r="A52" s="3"/>
      <c r="B52" s="3"/>
      <c r="C52" s="91" t="s">
        <v>20</v>
      </c>
      <c r="D52" s="95">
        <v>1</v>
      </c>
      <c r="E52" s="90">
        <f>COUNTIF($C$4:$C$38,"TORREGROSSA")+COUNTIF($I$4:$I$38,"TORREGROSSA")+COUNTIF($F$4:$F$38,"TORREGROSSA")</f>
        <v>4</v>
      </c>
      <c r="F52" s="90">
        <f>COUNTIF($D$4:$D$38,"TORREGROSSA")+COUNTIF($G$4:$G$38,"TORREGROSSA")</f>
        <v>4</v>
      </c>
      <c r="G52" s="90">
        <f>COUNTIF($E$4:$E$38,"TORREGROSSA")</f>
        <v>2</v>
      </c>
      <c r="H52" s="90">
        <f>COUNTIF($J$4:$J$38,"TORREGROSSA")</f>
        <v>5</v>
      </c>
      <c r="I52" s="91"/>
      <c r="J52" s="91">
        <v>5</v>
      </c>
      <c r="K52" s="92">
        <f t="shared" si="0"/>
        <v>36</v>
      </c>
      <c r="L52" s="91">
        <f t="shared" si="2"/>
        <v>156</v>
      </c>
      <c r="M52" s="93">
        <f>E52*10+F52*14+G52*12+H52*10</f>
        <v>170</v>
      </c>
      <c r="N52" s="91">
        <f t="shared" si="1"/>
        <v>14</v>
      </c>
      <c r="O52" s="3"/>
      <c r="P52" s="3"/>
      <c r="Q52" s="3"/>
    </row>
    <row r="53" spans="1:17" ht="12.75" customHeight="1">
      <c r="A53" s="3"/>
      <c r="B53" s="3"/>
      <c r="C53" s="91" t="s">
        <v>19</v>
      </c>
      <c r="D53" s="95">
        <v>0.4</v>
      </c>
      <c r="E53" s="90">
        <f>COUNTIF($C$4:$C$38,"BALLOT")+COUNTIF($I$4:$I$38,"BALLOT")+COUNTIF($F$4:$F$38,"BALLOT")</f>
        <v>0</v>
      </c>
      <c r="F53" s="90">
        <f>COUNTIF($D$4:$D$38,"BALLOT")+COUNTIF($G$4:$G$38,"BALLOT")</f>
        <v>0</v>
      </c>
      <c r="G53" s="90">
        <f>COUNTIF($E$4:$E$38,"BALLOT")</f>
        <v>5</v>
      </c>
      <c r="H53" s="90"/>
      <c r="I53" s="91"/>
      <c r="J53" s="91"/>
      <c r="K53" s="92">
        <f t="shared" si="0"/>
        <v>18</v>
      </c>
      <c r="L53" s="91">
        <f t="shared" si="2"/>
        <v>78</v>
      </c>
      <c r="M53" s="93">
        <f t="shared" ref="M53:M62" si="3">E53*10+F53*14+G53*12</f>
        <v>60</v>
      </c>
      <c r="N53" s="91">
        <f t="shared" si="1"/>
        <v>-18</v>
      </c>
      <c r="O53" s="3"/>
      <c r="P53" s="3"/>
      <c r="Q53" s="3"/>
    </row>
    <row r="54" spans="1:17" ht="12" customHeight="1">
      <c r="A54" s="3"/>
      <c r="B54" s="3"/>
      <c r="C54" s="91" t="s">
        <v>37</v>
      </c>
      <c r="D54" s="95">
        <v>0.4</v>
      </c>
      <c r="E54" s="90">
        <f>COUNTIF($C$4:$C$38,"MOREL")+COUNTIF($I$4:$I$38,"MOREL")+COUNTIF($F$4:$F$38,"MOREL")</f>
        <v>8</v>
      </c>
      <c r="F54" s="90">
        <f>COUNTIF($D$4:$D$38,"MOREL")+COUNTIF($G$4:$G$38,"MOREL")</f>
        <v>0</v>
      </c>
      <c r="G54" s="90">
        <f>COUNTIF($E$4:$E$38,"MOREL")</f>
        <v>1</v>
      </c>
      <c r="H54" s="90"/>
      <c r="I54" s="91"/>
      <c r="J54" s="91"/>
      <c r="K54" s="92">
        <f t="shared" si="0"/>
        <v>18</v>
      </c>
      <c r="L54" s="91">
        <f t="shared" si="2"/>
        <v>78</v>
      </c>
      <c r="M54" s="93">
        <f t="shared" si="3"/>
        <v>92</v>
      </c>
      <c r="N54" s="91">
        <f t="shared" si="1"/>
        <v>14</v>
      </c>
      <c r="O54" s="3"/>
      <c r="P54" s="3"/>
      <c r="Q54" s="3"/>
    </row>
    <row r="55" spans="1:17" ht="12" customHeight="1">
      <c r="A55" s="3"/>
      <c r="B55" s="3"/>
      <c r="C55" s="91" t="s">
        <v>27</v>
      </c>
      <c r="D55" s="95">
        <v>0.8</v>
      </c>
      <c r="E55" s="90">
        <f>COUNTIF($C$4:$C$38,"RACHIDI")+COUNTIF($I$4:$I$38,"RACHIDI")+COUNTIF($F$4:$F$38,"RACHIDI")</f>
        <v>0</v>
      </c>
      <c r="F55" s="90">
        <f>COUNTIF($D$4:$D$38,"RACHIDI")+COUNTIF($G$4:$G$38,"RACHIDI")</f>
        <v>0</v>
      </c>
      <c r="G55" s="90">
        <f>COUNTIF($E$4:$E$38,"RACHIDI")</f>
        <v>0</v>
      </c>
      <c r="H55" s="90"/>
      <c r="I55" s="91"/>
      <c r="J55" s="91">
        <v>20</v>
      </c>
      <c r="K55" s="92">
        <f t="shared" si="0"/>
        <v>7.1999999999999993</v>
      </c>
      <c r="L55" s="91">
        <f t="shared" si="2"/>
        <v>0</v>
      </c>
      <c r="M55" s="93">
        <f t="shared" si="3"/>
        <v>0</v>
      </c>
      <c r="N55" s="91">
        <f t="shared" si="1"/>
        <v>0</v>
      </c>
      <c r="O55" s="3"/>
      <c r="P55" s="3"/>
      <c r="Q55" s="3"/>
    </row>
    <row r="56" spans="1:17" ht="12" customHeight="1">
      <c r="A56" s="3"/>
      <c r="B56" s="3"/>
      <c r="C56" s="91" t="s">
        <v>34</v>
      </c>
      <c r="D56" s="95">
        <v>1</v>
      </c>
      <c r="E56" s="90">
        <f>COUNTIF($C$4:$C$38,"ZEBICHE")+COUNTIF($I$4:$I$38,"ZEBICHE")+COUNTIF($F$4:$F$38,"ZEBICHE")</f>
        <v>10</v>
      </c>
      <c r="F56" s="90">
        <f>COUNTIF($D$4:$D$38,"ZEBICHE")+COUNTIF($G$4:$G$38,"ZEBICHE")</f>
        <v>10</v>
      </c>
      <c r="G56" s="90">
        <f>COUNTIF($E$4:$E$38,"ZEBICHE")</f>
        <v>0</v>
      </c>
      <c r="H56" s="90"/>
      <c r="I56" s="91"/>
      <c r="J56" s="91"/>
      <c r="K56" s="92">
        <f t="shared" si="0"/>
        <v>45</v>
      </c>
      <c r="L56" s="91">
        <f t="shared" si="2"/>
        <v>195</v>
      </c>
      <c r="M56" s="93">
        <f t="shared" si="3"/>
        <v>240</v>
      </c>
      <c r="N56" s="91">
        <f t="shared" si="1"/>
        <v>45</v>
      </c>
      <c r="O56" s="3"/>
      <c r="P56" s="3"/>
    </row>
    <row r="57" spans="1:17" ht="12" customHeight="1">
      <c r="A57" s="3"/>
      <c r="B57" s="3"/>
      <c r="C57" s="91" t="s">
        <v>22</v>
      </c>
      <c r="D57" s="95">
        <v>1</v>
      </c>
      <c r="E57" s="90">
        <f>COUNTIF($C$4:$C$38,"HACHIMI")+COUNTIF($H$4:$H$38,"HACHIMI")+COUNTIF($F$4:$F$38,"HACHIMI")+COUNTIF($I$4:$I$38,"HACHIMI")</f>
        <v>7</v>
      </c>
      <c r="F57" s="90">
        <v>7</v>
      </c>
      <c r="G57" s="90">
        <f>COUNTIF($E$4:$E$38,"HACHIMI")</f>
        <v>1</v>
      </c>
      <c r="H57" s="90"/>
      <c r="I57" s="91"/>
      <c r="J57" s="91">
        <v>5</v>
      </c>
      <c r="K57" s="92">
        <f>D57*((9*$D$42)-($F$42*9/5))-(D57*(J57*1.8))+5</f>
        <v>41</v>
      </c>
      <c r="L57" s="91">
        <f t="shared" si="2"/>
        <v>156</v>
      </c>
      <c r="M57" s="93">
        <f t="shared" si="3"/>
        <v>180</v>
      </c>
      <c r="N57" s="91">
        <f t="shared" si="1"/>
        <v>24</v>
      </c>
      <c r="O57" s="3"/>
      <c r="P57" s="3"/>
    </row>
    <row r="58" spans="1:17" ht="12" customHeight="1">
      <c r="A58" s="3"/>
      <c r="B58" s="72"/>
      <c r="C58" s="91" t="s">
        <v>29</v>
      </c>
      <c r="D58" s="95">
        <v>1</v>
      </c>
      <c r="E58" s="90">
        <f>COUNTIF($C$4:$C$38,"BIENDOUX")+COUNTIF($H$4:$H$38,"BIENDOUX")+COUNTIF($I$4:$I$38,"BIENDOUX")+COUNTIF($F$4:$F$38,"BIENDOUX")+D67</f>
        <v>14</v>
      </c>
      <c r="F58" s="90">
        <f>COUNTIF($D$4:$D$38,"BIENDOUX")+COUNTIF($H$4:$H$38,"BIENDOUX")+COUNTIF($G$4:$G$38,"BIENDOUX")</f>
        <v>6</v>
      </c>
      <c r="G58" s="90">
        <f>COUNTIF($E$4:$E$38,"BIENDOUX")</f>
        <v>0</v>
      </c>
      <c r="H58" s="90"/>
      <c r="I58" s="91"/>
      <c r="J58" s="91"/>
      <c r="K58" s="92">
        <f>D58*((9*$D$42)-($F$42*9/5))-(D58*(J58*1.8))</f>
        <v>45</v>
      </c>
      <c r="L58" s="91">
        <f t="shared" si="2"/>
        <v>195</v>
      </c>
      <c r="M58" s="93">
        <f t="shared" si="3"/>
        <v>224</v>
      </c>
      <c r="N58" s="91">
        <f t="shared" si="1"/>
        <v>29</v>
      </c>
    </row>
    <row r="59" spans="1:17" ht="12" customHeight="1">
      <c r="A59" s="3"/>
      <c r="B59" s="96"/>
      <c r="C59" s="91" t="s">
        <v>48</v>
      </c>
      <c r="D59" s="95">
        <v>1</v>
      </c>
      <c r="E59" s="90">
        <f>COUNTIF($C$4:$C$38,"AFZAL")+COUNTIF($H$4:$H$38,"AFZAL")+COUNTIF($F$4:$F$38,"AFZAL")+COUNTIF($I$4:$I$38,"AFZAL")+D68</f>
        <v>12</v>
      </c>
      <c r="F59" s="90">
        <f>COUNTIF($D$4:$D$38,"AFZAL")+COUNTIF($H$4:$H$38,"AFZAL")+COUNTIF($G$4:$G$38,"AFZAL")</f>
        <v>6</v>
      </c>
      <c r="G59" s="90">
        <f>COUNTIF($E$4:$E$38,"AFZAL")</f>
        <v>0</v>
      </c>
      <c r="H59" s="90"/>
      <c r="I59" s="91"/>
      <c r="J59" s="91">
        <v>2</v>
      </c>
      <c r="K59" s="92">
        <f>D59*((9*$D$42)-($F$42*9/5))-(D59*(J59*1.8))</f>
        <v>41.4</v>
      </c>
      <c r="L59" s="91">
        <f t="shared" si="2"/>
        <v>179.4</v>
      </c>
      <c r="M59" s="93">
        <f t="shared" si="3"/>
        <v>204</v>
      </c>
      <c r="N59" s="91">
        <f t="shared" si="1"/>
        <v>24.599999999999994</v>
      </c>
      <c r="O59" s="57"/>
      <c r="P59" s="57"/>
      <c r="Q59" s="57"/>
    </row>
    <row r="60" spans="1:17" ht="12" customHeight="1">
      <c r="A60" s="3"/>
      <c r="B60" s="96"/>
      <c r="C60" s="91" t="s">
        <v>44</v>
      </c>
      <c r="D60" s="95">
        <v>1</v>
      </c>
      <c r="E60" s="90">
        <v>9</v>
      </c>
      <c r="F60" s="90">
        <v>6</v>
      </c>
      <c r="G60" s="90">
        <f>COUNTIF($E$4:$E$38,"IBRAHIM")</f>
        <v>3</v>
      </c>
      <c r="H60" s="90"/>
      <c r="I60" s="91"/>
      <c r="J60" s="91">
        <v>2</v>
      </c>
      <c r="K60" s="92">
        <f>D60*((9*$D$42)-($F$42*9/5))-(D60*(J60*1.8))</f>
        <v>41.4</v>
      </c>
      <c r="L60" s="91">
        <f t="shared" si="2"/>
        <v>179.4</v>
      </c>
      <c r="M60" s="93">
        <f t="shared" si="3"/>
        <v>210</v>
      </c>
      <c r="N60" s="91">
        <f t="shared" si="1"/>
        <v>30.599999999999994</v>
      </c>
      <c r="O60" s="57"/>
      <c r="P60" s="57"/>
      <c r="Q60" s="57"/>
    </row>
    <row r="61" spans="1:17" ht="12" customHeight="1">
      <c r="A61" s="3"/>
      <c r="B61" s="96"/>
      <c r="C61" s="91" t="s">
        <v>23</v>
      </c>
      <c r="D61" s="95">
        <v>1</v>
      </c>
      <c r="E61" s="90">
        <v>6</v>
      </c>
      <c r="F61" s="90">
        <v>4</v>
      </c>
      <c r="G61" s="90">
        <f>COUNTIF($E$4:$E$38,"IMAD")</f>
        <v>1</v>
      </c>
      <c r="H61" s="90"/>
      <c r="I61" s="91"/>
      <c r="J61" s="91"/>
      <c r="K61" s="92">
        <f>D61*((9*$D$42)-($F$42*9/5))-(D61*(J61*1.8))</f>
        <v>45</v>
      </c>
      <c r="L61" s="91">
        <f t="shared" si="2"/>
        <v>195</v>
      </c>
      <c r="M61" s="93">
        <f t="shared" si="3"/>
        <v>128</v>
      </c>
      <c r="N61" s="91">
        <f t="shared" si="1"/>
        <v>-67</v>
      </c>
      <c r="O61" s="57"/>
      <c r="P61" s="57"/>
      <c r="Q61" s="57"/>
    </row>
    <row r="62" spans="1:17" ht="12" customHeight="1">
      <c r="A62" s="3"/>
      <c r="B62" s="96"/>
      <c r="C62" s="91" t="s">
        <v>32</v>
      </c>
      <c r="D62" s="95">
        <v>1</v>
      </c>
      <c r="E62" s="90">
        <v>11</v>
      </c>
      <c r="F62" s="90">
        <f>COUNTIF($D$4:$D$38,"RADO")+COUNTIF($H$4:$H$38,"RADO")+COUNTIF($G$4:$G$38,"RADO")</f>
        <v>6</v>
      </c>
      <c r="G62" s="90">
        <f>COUNTIF($E$4:$E$38,"RADO")</f>
        <v>1</v>
      </c>
      <c r="H62" s="90"/>
      <c r="I62" s="91"/>
      <c r="J62" s="91"/>
      <c r="K62" s="92">
        <f>D62*((9*$D$42)-($F$42*9/5))-(D62*(J62*1.8))</f>
        <v>45</v>
      </c>
      <c r="L62" s="91">
        <f t="shared" si="2"/>
        <v>195</v>
      </c>
      <c r="M62" s="93">
        <f t="shared" si="3"/>
        <v>206</v>
      </c>
      <c r="N62" s="91">
        <f t="shared" si="1"/>
        <v>11</v>
      </c>
      <c r="O62" s="57"/>
      <c r="P62" s="57"/>
      <c r="Q62" s="57"/>
    </row>
    <row r="63" spans="1:17" ht="12" customHeight="1">
      <c r="A63" s="3"/>
      <c r="B63" s="96"/>
      <c r="C63" s="98"/>
      <c r="D63" s="98"/>
      <c r="E63" s="31"/>
      <c r="F63" s="99"/>
      <c r="G63" s="96"/>
      <c r="H63" s="100"/>
      <c r="I63" s="100"/>
      <c r="J63" s="100"/>
      <c r="K63" s="100"/>
      <c r="L63" s="100"/>
      <c r="M63" s="100"/>
      <c r="N63" s="57"/>
      <c r="O63" s="57"/>
      <c r="P63" s="57"/>
      <c r="Q63" s="57"/>
    </row>
    <row r="64" spans="1:17" ht="12" customHeight="1">
      <c r="A64" s="3"/>
      <c r="B64" s="96"/>
      <c r="C64" s="98"/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98" t="s">
        <v>71</v>
      </c>
      <c r="D65" s="98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7" t="s">
        <v>22</v>
      </c>
      <c r="D66" s="102">
        <v>4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7" t="s">
        <v>29</v>
      </c>
      <c r="D67" s="102">
        <v>10</v>
      </c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7" t="s">
        <v>48</v>
      </c>
      <c r="D68" s="102">
        <v>9</v>
      </c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7" t="s">
        <v>44</v>
      </c>
      <c r="D69" s="102"/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7" t="s">
        <v>23</v>
      </c>
      <c r="D70" s="102"/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7" t="s">
        <v>32</v>
      </c>
      <c r="D71" s="102">
        <v>4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98"/>
      <c r="D72" s="98"/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2" customHeight="1">
      <c r="K869" s="2"/>
      <c r="R869" s="3"/>
      <c r="S869" s="3"/>
      <c r="T869" s="3"/>
      <c r="U869" s="3"/>
      <c r="V869" s="3"/>
      <c r="W869" s="3"/>
    </row>
    <row r="870" spans="11:23" s="1" customFormat="1" ht="12" customHeight="1">
      <c r="K870" s="2"/>
      <c r="R870" s="3"/>
      <c r="S870" s="3"/>
      <c r="T870" s="3"/>
      <c r="U870" s="3"/>
      <c r="V870" s="3"/>
      <c r="W870" s="3"/>
    </row>
    <row r="871" spans="11:23" s="1" customFormat="1" ht="12" customHeight="1">
      <c r="K871" s="2"/>
      <c r="R871" s="3"/>
      <c r="S871" s="3"/>
      <c r="T871" s="3"/>
      <c r="U871" s="3"/>
      <c r="V871" s="3"/>
      <c r="W871" s="3"/>
    </row>
    <row r="872" spans="11:23" s="1" customFormat="1" ht="12" customHeight="1">
      <c r="K872" s="2"/>
      <c r="R872" s="3"/>
      <c r="S872" s="3"/>
      <c r="T872" s="3"/>
      <c r="U872" s="3"/>
      <c r="V872" s="3"/>
      <c r="W872" s="3"/>
    </row>
    <row r="873" spans="11:23" s="1" customFormat="1" ht="12" customHeight="1">
      <c r="K873" s="2"/>
      <c r="R873" s="3"/>
      <c r="S873" s="3"/>
      <c r="T873" s="3"/>
      <c r="U873" s="3"/>
      <c r="V873" s="3"/>
      <c r="W873" s="3"/>
    </row>
    <row r="874" spans="11:23" s="1" customFormat="1" ht="12" customHeight="1">
      <c r="K874" s="2"/>
      <c r="R874" s="3"/>
      <c r="S874" s="3"/>
      <c r="T874" s="3"/>
      <c r="U874" s="3"/>
      <c r="V874" s="3"/>
      <c r="W874" s="3"/>
    </row>
    <row r="875" spans="11:23" s="1" customFormat="1" ht="12" customHeight="1">
      <c r="K875" s="2"/>
      <c r="R875" s="3"/>
      <c r="S875" s="3"/>
      <c r="T875" s="3"/>
      <c r="U875" s="3"/>
      <c r="V875" s="3"/>
      <c r="W875" s="3"/>
    </row>
    <row r="876" spans="11:23" s="1" customFormat="1" ht="12" customHeight="1">
      <c r="K876" s="2"/>
      <c r="R876" s="3"/>
      <c r="S876" s="3"/>
      <c r="T876" s="3"/>
      <c r="U876" s="3"/>
      <c r="V876" s="3"/>
      <c r="W876" s="3"/>
    </row>
    <row r="877" spans="11:23" s="1" customFormat="1" ht="12" customHeight="1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75" defaultRowHeight="12.7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875" style="1" customWidth="1"/>
    <col min="9" max="9" width="13.5" style="2" customWidth="1"/>
    <col min="10" max="10" width="16.625" style="1" customWidth="1"/>
    <col min="11" max="11" width="15.5" style="1" customWidth="1"/>
    <col min="12" max="12" width="12.5" style="1" customWidth="1"/>
    <col min="13" max="13" width="8" style="1" customWidth="1"/>
    <col min="14" max="14" width="10.125" style="1" customWidth="1"/>
    <col min="15" max="15" width="8.1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7" t="s">
        <v>101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8" t="s">
        <v>1</v>
      </c>
      <c r="D2" s="368"/>
      <c r="E2" s="4" t="s">
        <v>2</v>
      </c>
      <c r="F2" s="369" t="s">
        <v>3</v>
      </c>
      <c r="G2" s="369"/>
      <c r="H2" s="5"/>
      <c r="I2" s="5"/>
      <c r="J2" s="5"/>
      <c r="K2" s="6"/>
      <c r="L2" s="370" t="s">
        <v>4</v>
      </c>
      <c r="M2" s="370"/>
      <c r="N2" s="370"/>
      <c r="O2" s="370"/>
      <c r="P2" s="370"/>
      <c r="Q2" s="370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37" t="s">
        <v>18</v>
      </c>
      <c r="B4" s="38">
        <v>45753</v>
      </c>
      <c r="C4" s="58" t="s">
        <v>34</v>
      </c>
      <c r="D4" s="58" t="s">
        <v>34</v>
      </c>
      <c r="E4" s="132" t="s">
        <v>32</v>
      </c>
      <c r="F4" s="40" t="s">
        <v>38</v>
      </c>
      <c r="G4" s="40" t="s">
        <v>38</v>
      </c>
      <c r="H4" s="133" t="s">
        <v>29</v>
      </c>
      <c r="I4" s="41"/>
      <c r="J4" s="134"/>
      <c r="K4" s="135"/>
      <c r="L4" s="136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45755</v>
      </c>
      <c r="C6" s="33" t="s">
        <v>27</v>
      </c>
      <c r="D6" s="33" t="s">
        <v>27</v>
      </c>
      <c r="E6" s="132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2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2" t="s">
        <v>29</v>
      </c>
      <c r="G8" s="132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45758</v>
      </c>
      <c r="C9" s="132" t="s">
        <v>22</v>
      </c>
      <c r="D9" s="39" t="s">
        <v>31</v>
      </c>
      <c r="E9" s="40" t="s">
        <v>21</v>
      </c>
      <c r="F9" s="40" t="s">
        <v>37</v>
      </c>
      <c r="G9" s="132" t="s">
        <v>23</v>
      </c>
      <c r="H9" s="137"/>
      <c r="I9" s="41"/>
      <c r="J9" s="138"/>
      <c r="K9" s="43"/>
      <c r="L9" s="41"/>
      <c r="M9" s="44"/>
      <c r="N9" s="44"/>
      <c r="O9" s="44"/>
      <c r="P9" s="31"/>
      <c r="Q9" s="109" t="s">
        <v>76</v>
      </c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45759</v>
      </c>
      <c r="C10" s="40" t="s">
        <v>20</v>
      </c>
      <c r="D10" s="40" t="s">
        <v>20</v>
      </c>
      <c r="E10" s="139" t="s">
        <v>19</v>
      </c>
      <c r="F10" s="132" t="s">
        <v>29</v>
      </c>
      <c r="G10" s="132" t="s">
        <v>29</v>
      </c>
      <c r="H10" s="140" t="s">
        <v>22</v>
      </c>
      <c r="I10" s="41"/>
      <c r="J10" s="141"/>
      <c r="K10" s="43"/>
      <c r="L10" s="41"/>
      <c r="M10" s="44"/>
      <c r="N10" s="44"/>
      <c r="O10" s="44"/>
      <c r="P10" s="31"/>
      <c r="Q10" s="109" t="s">
        <v>77</v>
      </c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45760</v>
      </c>
      <c r="C11" s="48" t="s">
        <v>36</v>
      </c>
      <c r="D11" s="48" t="s">
        <v>36</v>
      </c>
      <c r="E11" s="132" t="s">
        <v>44</v>
      </c>
      <c r="F11" s="132" t="s">
        <v>32</v>
      </c>
      <c r="G11" s="132" t="s">
        <v>32</v>
      </c>
      <c r="H11" s="140" t="s">
        <v>23</v>
      </c>
      <c r="I11" s="51" t="s">
        <v>102</v>
      </c>
      <c r="J11" s="142"/>
      <c r="K11" s="143"/>
      <c r="L11" s="29" t="s">
        <v>104</v>
      </c>
      <c r="M11" s="34"/>
      <c r="N11" s="34"/>
      <c r="O11" s="34"/>
      <c r="P11" s="31"/>
      <c r="Q11" s="109" t="s">
        <v>79</v>
      </c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4"/>
      <c r="K12" s="144"/>
      <c r="L12" s="29" t="s">
        <v>104</v>
      </c>
      <c r="M12" s="30"/>
      <c r="N12" s="34"/>
      <c r="O12" s="34"/>
      <c r="P12" s="31"/>
      <c r="Q12" s="109" t="s">
        <v>77</v>
      </c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45762</v>
      </c>
      <c r="C13" s="48" t="s">
        <v>36</v>
      </c>
      <c r="D13" s="48" t="s">
        <v>36</v>
      </c>
      <c r="E13" s="132" t="s">
        <v>32</v>
      </c>
      <c r="F13" s="23" t="s">
        <v>37</v>
      </c>
      <c r="G13" s="132" t="s">
        <v>22</v>
      </c>
      <c r="H13" s="51" t="s">
        <v>105</v>
      </c>
      <c r="I13" s="51" t="s">
        <v>102</v>
      </c>
      <c r="J13" s="145"/>
      <c r="K13" s="144"/>
      <c r="L13" s="29" t="s">
        <v>104</v>
      </c>
      <c r="M13" s="30"/>
      <c r="N13" s="35"/>
      <c r="O13" s="34"/>
      <c r="P13" s="31"/>
      <c r="Q13" s="109" t="s">
        <v>80</v>
      </c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2" t="s">
        <v>23</v>
      </c>
      <c r="G14" s="132" t="s">
        <v>29</v>
      </c>
      <c r="H14" s="36"/>
      <c r="I14" s="32"/>
      <c r="J14" s="48"/>
      <c r="K14" s="143"/>
      <c r="L14" s="27" t="s">
        <v>106</v>
      </c>
      <c r="M14" s="30"/>
      <c r="N14" s="35"/>
      <c r="O14" s="34"/>
      <c r="P14" s="31"/>
      <c r="Q14" s="109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45764</v>
      </c>
      <c r="C15" s="146" t="s">
        <v>20</v>
      </c>
      <c r="D15" s="132" t="s">
        <v>29</v>
      </c>
      <c r="E15" s="132" t="s">
        <v>23</v>
      </c>
      <c r="F15" s="132" t="s">
        <v>32</v>
      </c>
      <c r="G15" s="48" t="s">
        <v>42</v>
      </c>
      <c r="H15" s="36"/>
      <c r="I15" s="132" t="s">
        <v>22</v>
      </c>
      <c r="J15" s="62"/>
      <c r="K15" s="28"/>
      <c r="L15" s="27" t="s">
        <v>106</v>
      </c>
      <c r="M15" s="30"/>
      <c r="N15" s="34"/>
      <c r="O15" s="34"/>
      <c r="P15" s="31"/>
      <c r="Q15" s="109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45765</v>
      </c>
      <c r="C16" s="54" t="s">
        <v>36</v>
      </c>
      <c r="D16" s="41" t="s">
        <v>36</v>
      </c>
      <c r="E16" s="108" t="s">
        <v>19</v>
      </c>
      <c r="F16" s="40" t="s">
        <v>37</v>
      </c>
      <c r="G16" s="132" t="s">
        <v>23</v>
      </c>
      <c r="H16" s="137"/>
      <c r="I16" s="41"/>
      <c r="J16" s="138"/>
      <c r="K16" s="43"/>
      <c r="L16" s="41"/>
      <c r="M16" s="55"/>
      <c r="N16" s="55"/>
      <c r="O16" s="55"/>
      <c r="P16" s="111" t="s">
        <v>76</v>
      </c>
      <c r="Q16" s="109" t="s">
        <v>82</v>
      </c>
      <c r="R16" s="31"/>
      <c r="S16" s="3"/>
      <c r="T16" s="3"/>
    </row>
    <row r="17" spans="1:24" ht="12.75" customHeight="1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40" t="s">
        <v>44</v>
      </c>
      <c r="I17" s="41"/>
      <c r="J17" s="138"/>
      <c r="K17" s="43"/>
      <c r="L17" s="41"/>
      <c r="M17" s="55"/>
      <c r="N17" s="55"/>
      <c r="O17" s="55"/>
      <c r="P17" s="111" t="s">
        <v>77</v>
      </c>
      <c r="Q17" s="112" t="s">
        <v>79</v>
      </c>
      <c r="R17" s="31"/>
      <c r="S17" s="3"/>
      <c r="T17" s="3"/>
    </row>
    <row r="18" spans="1:24" ht="12.75" customHeight="1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40" t="s">
        <v>22</v>
      </c>
      <c r="I18" s="132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1" t="s">
        <v>79</v>
      </c>
      <c r="Q18" s="112" t="s">
        <v>83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45768</v>
      </c>
      <c r="C19" s="32" t="s">
        <v>27</v>
      </c>
      <c r="D19" s="32" t="s">
        <v>27</v>
      </c>
      <c r="E19" s="132" t="s">
        <v>23</v>
      </c>
      <c r="F19" s="23" t="s">
        <v>28</v>
      </c>
      <c r="G19" s="132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1" t="s">
        <v>77</v>
      </c>
      <c r="Q19" s="112" t="s">
        <v>84</v>
      </c>
      <c r="R19" s="31"/>
      <c r="S19" s="3"/>
      <c r="T19" s="3"/>
    </row>
    <row r="20" spans="1:24" ht="12.75" customHeight="1">
      <c r="A20" s="21" t="s">
        <v>30</v>
      </c>
      <c r="B20" s="22">
        <v>45769</v>
      </c>
      <c r="C20" s="48" t="s">
        <v>42</v>
      </c>
      <c r="D20" s="48" t="s">
        <v>42</v>
      </c>
      <c r="E20" s="147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1" t="s">
        <v>80</v>
      </c>
      <c r="Q20" s="112" t="s">
        <v>77</v>
      </c>
      <c r="R20" s="31"/>
      <c r="S20" s="3"/>
      <c r="T20" s="3"/>
    </row>
    <row r="21" spans="1:24" ht="12.75" customHeight="1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1" t="s">
        <v>79</v>
      </c>
      <c r="Q21" s="112" t="s">
        <v>85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2" t="s">
        <v>44</v>
      </c>
      <c r="G22" s="132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1" t="s">
        <v>81</v>
      </c>
      <c r="Q22" s="112" t="s">
        <v>86</v>
      </c>
      <c r="R22" s="31"/>
      <c r="S22" s="3"/>
      <c r="T22" s="3"/>
    </row>
    <row r="23" spans="1:24" ht="12.75" customHeight="1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2" t="s">
        <v>22</v>
      </c>
      <c r="G23" s="132" t="s">
        <v>22</v>
      </c>
      <c r="H23" s="148"/>
      <c r="I23" s="51" t="s">
        <v>102</v>
      </c>
      <c r="J23" s="138"/>
      <c r="K23" s="43"/>
      <c r="L23" s="55" t="s">
        <v>37</v>
      </c>
      <c r="M23" s="55"/>
      <c r="N23" s="55"/>
      <c r="O23" s="55"/>
      <c r="P23" s="111" t="s">
        <v>87</v>
      </c>
      <c r="Q23" s="112" t="s">
        <v>81</v>
      </c>
      <c r="R23" s="31"/>
      <c r="S23" s="3"/>
      <c r="T23" s="3"/>
    </row>
    <row r="24" spans="1:24" ht="12.75" customHeight="1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9" t="s">
        <v>44</v>
      </c>
      <c r="H24" s="122" t="s">
        <v>48</v>
      </c>
      <c r="I24" s="51" t="s">
        <v>102</v>
      </c>
      <c r="J24" s="138"/>
      <c r="K24" s="59"/>
      <c r="L24" s="55" t="s">
        <v>37</v>
      </c>
      <c r="M24" s="55"/>
      <c r="N24" s="55"/>
      <c r="O24" s="55"/>
      <c r="P24" s="113" t="s">
        <v>79</v>
      </c>
      <c r="Q24" s="112" t="s">
        <v>88</v>
      </c>
      <c r="R24" s="56"/>
      <c r="S24" s="3"/>
      <c r="T24" s="3"/>
    </row>
    <row r="25" spans="1:24" ht="12.75" customHeight="1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2" t="s">
        <v>23</v>
      </c>
      <c r="G25" s="132" t="s">
        <v>23</v>
      </c>
      <c r="H25" s="150" t="s">
        <v>32</v>
      </c>
      <c r="I25" s="51" t="s">
        <v>102</v>
      </c>
      <c r="J25" s="151"/>
      <c r="K25" s="30"/>
      <c r="L25" s="30" t="s">
        <v>109</v>
      </c>
      <c r="M25" s="62"/>
      <c r="N25" s="30"/>
      <c r="O25" s="30"/>
      <c r="P25" s="113" t="s">
        <v>83</v>
      </c>
      <c r="Q25" s="31"/>
      <c r="R25" s="56"/>
      <c r="S25" s="3"/>
      <c r="T25" s="3"/>
    </row>
    <row r="26" spans="1:24" ht="13.5" customHeight="1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3"/>
      <c r="K26" s="33"/>
      <c r="L26" s="30" t="s">
        <v>109</v>
      </c>
      <c r="M26" s="62"/>
      <c r="N26" s="30"/>
      <c r="O26" s="30"/>
      <c r="P26" s="113" t="s">
        <v>84</v>
      </c>
      <c r="Q26" s="31"/>
      <c r="R26" s="56"/>
      <c r="S26" s="3"/>
      <c r="T26" s="3"/>
    </row>
    <row r="27" spans="1:24" ht="12.75" customHeight="1">
      <c r="A27" s="21" t="s">
        <v>30</v>
      </c>
      <c r="B27" s="22">
        <v>45776</v>
      </c>
      <c r="C27" s="23" t="s">
        <v>36</v>
      </c>
      <c r="D27" s="23" t="s">
        <v>36</v>
      </c>
      <c r="E27" s="132" t="s">
        <v>23</v>
      </c>
      <c r="F27" s="132" t="s">
        <v>32</v>
      </c>
      <c r="G27" s="132" t="s">
        <v>32</v>
      </c>
      <c r="H27" s="36"/>
      <c r="I27" s="132" t="s">
        <v>22</v>
      </c>
      <c r="J27" s="152"/>
      <c r="K27" s="64"/>
      <c r="L27" s="30" t="s">
        <v>109</v>
      </c>
      <c r="M27" s="62"/>
      <c r="N27" s="30"/>
      <c r="O27" s="30"/>
      <c r="P27" s="113" t="s">
        <v>77</v>
      </c>
      <c r="Q27" s="31"/>
      <c r="R27" s="56"/>
      <c r="S27" s="3"/>
      <c r="T27" s="3"/>
    </row>
    <row r="28" spans="1:24" ht="12.75" customHeight="1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2" t="s">
        <v>44</v>
      </c>
      <c r="G28" s="132" t="s">
        <v>44</v>
      </c>
      <c r="H28" s="153"/>
      <c r="I28" s="132" t="s">
        <v>23</v>
      </c>
      <c r="J28" s="48"/>
      <c r="K28" s="32"/>
      <c r="L28" s="30" t="s">
        <v>109</v>
      </c>
      <c r="M28" s="65"/>
      <c r="N28" s="30"/>
      <c r="O28" s="30"/>
      <c r="P28" s="113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4"/>
      <c r="I29" s="41" t="s">
        <v>36</v>
      </c>
      <c r="J29" s="155"/>
      <c r="K29" s="154"/>
      <c r="L29" s="55" t="s">
        <v>37</v>
      </c>
      <c r="M29" s="156"/>
      <c r="N29" s="55"/>
      <c r="O29" s="55"/>
      <c r="P29" s="113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45779</v>
      </c>
      <c r="C30" s="40" t="s">
        <v>34</v>
      </c>
      <c r="D30" s="40" t="s">
        <v>34</v>
      </c>
      <c r="E30" s="132" t="s">
        <v>44</v>
      </c>
      <c r="F30" s="108" t="s">
        <v>37</v>
      </c>
      <c r="G30" s="132" t="s">
        <v>48</v>
      </c>
      <c r="H30" s="137"/>
      <c r="I30" s="51" t="s">
        <v>102</v>
      </c>
      <c r="J30" s="157"/>
      <c r="K30" s="42"/>
      <c r="L30" s="68"/>
      <c r="M30" s="69"/>
      <c r="N30" s="55"/>
      <c r="O30" s="55"/>
      <c r="P30" s="113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>
      <c r="A31" s="37" t="s">
        <v>43</v>
      </c>
      <c r="B31" s="38">
        <v>45780</v>
      </c>
      <c r="C31" s="120"/>
      <c r="D31" s="120"/>
      <c r="E31" s="108" t="s">
        <v>47</v>
      </c>
      <c r="F31" s="40" t="s">
        <v>36</v>
      </c>
      <c r="G31" s="40" t="s">
        <v>36</v>
      </c>
      <c r="H31" s="158" t="s">
        <v>110</v>
      </c>
      <c r="I31" s="41" t="s">
        <v>27</v>
      </c>
      <c r="J31" s="157"/>
      <c r="K31" s="42"/>
      <c r="L31" s="70"/>
      <c r="M31" s="69"/>
      <c r="N31" s="55"/>
      <c r="O31" s="55"/>
      <c r="P31" s="111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>
      <c r="A33" s="370" t="s">
        <v>53</v>
      </c>
      <c r="B33" s="370"/>
      <c r="C33" s="370"/>
      <c r="D33" s="370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6" t="s">
        <v>57</v>
      </c>
      <c r="M35" s="77"/>
      <c r="N35" s="366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6" t="s">
        <v>63</v>
      </c>
      <c r="J36" s="366" t="s">
        <v>64</v>
      </c>
      <c r="K36" s="366" t="s">
        <v>65</v>
      </c>
      <c r="L36" s="366" t="s">
        <v>66</v>
      </c>
      <c r="M36" s="77" t="s">
        <v>67</v>
      </c>
      <c r="N36" s="366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6"/>
      <c r="J37" s="366"/>
      <c r="K37" s="85">
        <f t="shared" ref="K37:K43" si="0">D37*((9*$D$35)-($F$35*9/5))-(D37*(J37*1.8))</f>
        <v>8.1</v>
      </c>
      <c r="L37" s="86">
        <v>31.2</v>
      </c>
      <c r="M37" s="87">
        <f>E37*10+F37*14+G37*12</f>
        <v>0</v>
      </c>
      <c r="N37" s="86">
        <f t="shared" ref="N37:N43" si="1">M37-L37</f>
        <v>-31.2</v>
      </c>
      <c r="O37" s="3"/>
      <c r="P37" s="3"/>
    </row>
    <row r="38" spans="1:23" ht="12.75" customHeight="1">
      <c r="A38" s="73"/>
      <c r="B38" s="73"/>
      <c r="C38" s="88" t="s">
        <v>38</v>
      </c>
      <c r="D38" s="89">
        <v>1</v>
      </c>
      <c r="E38" s="90">
        <f>COUNTIF($C$4:$C$31,"BOULAT")+COUNTIF($I$4:$I$31,"BOULAT")+COUNTIF($F$4:$F$31,"BOULAT")</f>
        <v>5</v>
      </c>
      <c r="F38" s="90">
        <f>COUNTIF($D$4:$D$31,"BOULAT")+COUNTIF($G$4:$G$31,"BOULAT")</f>
        <v>5</v>
      </c>
      <c r="G38" s="90">
        <f>COUNTIF($E$4:$E$31,"BOULAT")</f>
        <v>0</v>
      </c>
      <c r="H38" s="88"/>
      <c r="I38" s="90"/>
      <c r="J38" s="91">
        <v>5</v>
      </c>
      <c r="K38" s="92">
        <f t="shared" si="0"/>
        <v>23.4</v>
      </c>
      <c r="L38" s="91">
        <f>D38*((39*$D$35)-($F$35*39/5))-(J38*7.8)</f>
        <v>101.4</v>
      </c>
      <c r="M38" s="93">
        <f>E38*10+F38*14+G38*12</f>
        <v>120</v>
      </c>
      <c r="N38" s="91">
        <f t="shared" si="1"/>
        <v>18.599999999999994</v>
      </c>
      <c r="O38" s="3" t="s">
        <v>70</v>
      </c>
      <c r="P38" s="3"/>
    </row>
    <row r="39" spans="1:23" ht="12.75" customHeight="1">
      <c r="A39" s="73"/>
      <c r="B39" s="73"/>
      <c r="C39" s="88" t="s">
        <v>36</v>
      </c>
      <c r="D39" s="89">
        <v>1</v>
      </c>
      <c r="E39" s="90">
        <f>COUNTIF($C$4:$C$31,"BRUGIROUX")+COUNTIF($F$4:$F$31,"BRUGIROUX")+COUNTIF($I$4:$I$31,"BRUGIROUX")</f>
        <v>7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4</v>
      </c>
      <c r="K39" s="92">
        <f t="shared" si="0"/>
        <v>25.2</v>
      </c>
      <c r="L39" s="91">
        <f>D39*((39*$D$35)-($F$35*39/5))-(J39*7.8)</f>
        <v>109.2</v>
      </c>
      <c r="M39" s="93">
        <f>E39*10+F39*14+G39*12</f>
        <v>168</v>
      </c>
      <c r="N39" s="91">
        <f t="shared" si="1"/>
        <v>58.8</v>
      </c>
      <c r="O39" s="3" t="s">
        <v>70</v>
      </c>
      <c r="P39" s="3"/>
    </row>
    <row r="40" spans="1:23" ht="12" customHeight="1">
      <c r="A40" s="73"/>
      <c r="B40" s="73"/>
      <c r="C40" s="88" t="s">
        <v>21</v>
      </c>
      <c r="D40" s="95">
        <v>0.5</v>
      </c>
      <c r="E40" s="90">
        <f>COUNTIF($C$4:$C$31,"CAUVY")+COUNTIF($F$4:$F$31,"CAUVY")+COUNTIF($I$4:$I$31,"CAUVY")</f>
        <v>4</v>
      </c>
      <c r="F40" s="90">
        <f>COUNTIF($D$4:$D$31,"CAUVY")+COUNTIF($G$4:$G$31,"CAUVY")</f>
        <v>0</v>
      </c>
      <c r="G40" s="90">
        <f>COUNTIF($E$4:$E$31,"CAUVY")</f>
        <v>2</v>
      </c>
      <c r="H40" s="90"/>
      <c r="I40" s="90">
        <f>COUNTIF($K$4:$K$31,"CAUVY")</f>
        <v>0</v>
      </c>
      <c r="J40" s="91">
        <v>5.5</v>
      </c>
      <c r="K40" s="92">
        <f t="shared" si="0"/>
        <v>11.25</v>
      </c>
      <c r="L40" s="91">
        <f>D40*((39*$D$35)-($F$35*39/5))-(J40*7.8)</f>
        <v>27.300000000000004</v>
      </c>
      <c r="M40" s="93">
        <f>E40*10+F40*14+G40*12+H40*10</f>
        <v>64</v>
      </c>
      <c r="N40" s="91">
        <f t="shared" si="1"/>
        <v>36.699999999999996</v>
      </c>
      <c r="O40" s="3" t="s">
        <v>70</v>
      </c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4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>
        <v>3.8</v>
      </c>
      <c r="K41" s="92">
        <f t="shared" si="0"/>
        <v>20.448</v>
      </c>
      <c r="L41" s="91">
        <f>D41*((39*$D$35)-($F$35*39/5))-(J41*7.8)</f>
        <v>82.68</v>
      </c>
      <c r="M41" s="93">
        <f>E41*10+F41*14+G41*12</f>
        <v>122</v>
      </c>
      <c r="N41" s="91">
        <f t="shared" si="1"/>
        <v>39.319999999999993</v>
      </c>
      <c r="O41" s="3" t="s">
        <v>70</v>
      </c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4</v>
      </c>
      <c r="F42" s="90">
        <f>COUNTIF($D$4:$D$31,"KANTCHE")+COUNTIF($G$4:$G$31,"KANTCHE")</f>
        <v>2</v>
      </c>
      <c r="G42" s="90">
        <f>COUNTIF($E$4:$E$31,"KANTCHE")</f>
        <v>1</v>
      </c>
      <c r="H42" s="91"/>
      <c r="I42" s="91"/>
      <c r="J42" s="91">
        <v>2</v>
      </c>
      <c r="K42" s="92">
        <f t="shared" si="0"/>
        <v>17.279999999999998</v>
      </c>
      <c r="L42" s="91">
        <f>D42*((39*$D$35)-($F$35*39/5))-(J42*4.68)</f>
        <v>74.88</v>
      </c>
      <c r="M42" s="93">
        <f>E42*10+F42*14+G42*12</f>
        <v>80</v>
      </c>
      <c r="N42" s="91">
        <f t="shared" si="1"/>
        <v>5.1200000000000045</v>
      </c>
      <c r="O42" s="3" t="s">
        <v>111</v>
      </c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4</v>
      </c>
      <c r="F43" s="90">
        <f>COUNTIF($D$4:$D$31,"ORIOLI")+COUNTIF($G$4:$G$31,"ORIOLI")</f>
        <v>5</v>
      </c>
      <c r="G43" s="90">
        <f>COUNTIF($E$4:$E$31,"ORIOLI")</f>
        <v>0</v>
      </c>
      <c r="H43" s="91"/>
      <c r="I43" s="91"/>
      <c r="J43" s="91">
        <v>4</v>
      </c>
      <c r="K43" s="92">
        <f t="shared" si="0"/>
        <v>25.2</v>
      </c>
      <c r="L43" s="91">
        <f>D43*((39*$D$35)-($F$35*39/5))-(J43*7.8)</f>
        <v>109.2</v>
      </c>
      <c r="M43" s="93">
        <f>E43*10+F43*14+G43*12</f>
        <v>110</v>
      </c>
      <c r="N43" s="91">
        <f t="shared" si="1"/>
        <v>0.79999999999999716</v>
      </c>
      <c r="O43" s="3" t="s">
        <v>111</v>
      </c>
      <c r="P43" s="3"/>
      <c r="Q43" s="3"/>
    </row>
    <row r="44" spans="1:23" ht="12" customHeight="1">
      <c r="A44" s="3"/>
      <c r="B44" s="3"/>
      <c r="C44" s="91"/>
      <c r="D44" s="95"/>
      <c r="E44" s="90"/>
      <c r="F44" s="90"/>
      <c r="G44" s="90"/>
      <c r="H44" s="91"/>
      <c r="I44" s="91"/>
      <c r="J44" s="91"/>
      <c r="K44" s="92"/>
      <c r="L44" s="91"/>
      <c r="M44" s="93"/>
      <c r="N44" s="91"/>
      <c r="O44" s="3"/>
      <c r="P44" s="3"/>
      <c r="Q44" s="3"/>
    </row>
    <row r="45" spans="1:23" ht="12" customHeight="1">
      <c r="A45" s="3"/>
      <c r="B45" s="3"/>
      <c r="C45" s="91" t="s">
        <v>47</v>
      </c>
      <c r="D45" s="95">
        <v>0.5</v>
      </c>
      <c r="E45" s="90">
        <f>COUNTIF($C$4:$C$31,"TKATCHOUK")+COUNTIF($F$4:$F$31,"TKATCHOUK")+COUNTIF($I$4:$I$31,"TKATCHOUK")</f>
        <v>0</v>
      </c>
      <c r="F45" s="90">
        <f>COUNTIF($D$4:$D$31,"TKATCHOUK")+COUNTIF($G$4:$G$31,"TKATCHOUK")</f>
        <v>0</v>
      </c>
      <c r="G45" s="90">
        <f>COUNTIF($E$4:$E$31,"TKATCHOUK")</f>
        <v>6</v>
      </c>
      <c r="H45" s="91"/>
      <c r="I45" s="91"/>
      <c r="J45" s="91"/>
      <c r="K45" s="92">
        <f t="shared" ref="K45:K57" si="2">D45*((9*$D$35)-($F$35*9/5))-(D45*(J45*1.8))</f>
        <v>16.2</v>
      </c>
      <c r="L45" s="91">
        <f t="shared" ref="L45:L57" si="3">D45*((39*$D$35)-($F$35*39/5))-(J45*7.8)</f>
        <v>70.2</v>
      </c>
      <c r="M45" s="93">
        <f>E45*10+F45*14+G45*12</f>
        <v>72</v>
      </c>
      <c r="N45" s="91">
        <f t="shared" ref="N45:N57" si="4">M45-L45</f>
        <v>1.7999999999999972</v>
      </c>
      <c r="O45" s="3" t="s">
        <v>111</v>
      </c>
      <c r="P45" s="3"/>
      <c r="Q45" s="3"/>
    </row>
    <row r="46" spans="1:23" ht="12" customHeight="1">
      <c r="A46" s="3"/>
      <c r="B46" s="3"/>
      <c r="C46" s="91" t="s">
        <v>20</v>
      </c>
      <c r="D46" s="95">
        <v>1</v>
      </c>
      <c r="E46" s="90">
        <f>COUNTIF($C$4:$C$31,"TORREGROSSA")+COUNTIF($I$4:$I$31,"TORREGROSSA")+COUNTIF($F$4:$F$31,"TORREGROSSA")</f>
        <v>4</v>
      </c>
      <c r="F46" s="90">
        <f>COUNTIF($D$4:$D$31,"TORREGROSSA")+COUNTIF($G$4:$G$31,"TORREGROSSA")</f>
        <v>3</v>
      </c>
      <c r="G46" s="90">
        <f>COUNTIF($E$4:$E$31,"TORREGROSSA")</f>
        <v>2</v>
      </c>
      <c r="H46" s="90">
        <f>COUNTIF($J$4:$J$31,"TORREGROSSA")</f>
        <v>6</v>
      </c>
      <c r="I46" s="91"/>
      <c r="J46" s="91">
        <v>2</v>
      </c>
      <c r="K46" s="92">
        <f t="shared" si="2"/>
        <v>28.799999999999997</v>
      </c>
      <c r="L46" s="91">
        <f t="shared" si="3"/>
        <v>124.80000000000001</v>
      </c>
      <c r="M46" s="93">
        <f>E46*10+F46*14+G46*12+H46*10</f>
        <v>166</v>
      </c>
      <c r="N46" s="91">
        <f t="shared" si="4"/>
        <v>41.199999999999989</v>
      </c>
      <c r="O46" s="3" t="s">
        <v>111</v>
      </c>
      <c r="P46" s="3"/>
      <c r="Q46" s="3"/>
    </row>
    <row r="47" spans="1:23" ht="12" customHeight="1">
      <c r="A47" s="3"/>
      <c r="B47" s="3"/>
      <c r="C47" s="91" t="s">
        <v>19</v>
      </c>
      <c r="D47" s="95">
        <v>0.4</v>
      </c>
      <c r="E47" s="90">
        <f>COUNTIF($C$4:$C$31,"BALLOT")+COUNTIF($I$4:$I$31,"BALLOT")+COUNTIF($F$4:$F$31,"BALLOT")</f>
        <v>0</v>
      </c>
      <c r="F47" s="90">
        <f>COUNTIF($D$4:$D$31,"BALLOT")+COUNTIF($G$4:$G$31,"BALLOT")</f>
        <v>0</v>
      </c>
      <c r="G47" s="90">
        <f>COUNTIF($E$4:$E$31,"BALLOT")</f>
        <v>7</v>
      </c>
      <c r="H47" s="90"/>
      <c r="I47" s="91"/>
      <c r="J47" s="91"/>
      <c r="K47" s="92">
        <f t="shared" si="2"/>
        <v>12.96</v>
      </c>
      <c r="L47" s="91">
        <f t="shared" si="3"/>
        <v>56.160000000000004</v>
      </c>
      <c r="M47" s="93">
        <f t="shared" ref="M47:M57" si="5">E47*10+F47*14+G47*12</f>
        <v>84</v>
      </c>
      <c r="N47" s="91">
        <f t="shared" si="4"/>
        <v>27.839999999999996</v>
      </c>
      <c r="O47" s="3" t="s">
        <v>70</v>
      </c>
      <c r="P47" s="3"/>
      <c r="Q47" s="3"/>
    </row>
    <row r="48" spans="1:23" ht="12" customHeight="1">
      <c r="A48" s="3"/>
      <c r="B48" s="3"/>
      <c r="C48" s="91" t="s">
        <v>37</v>
      </c>
      <c r="D48" s="95">
        <v>0.4</v>
      </c>
      <c r="E48" s="90">
        <f>COUNTIF($C$4:$C$31,"MOREL")+COUNTIF($I$4:$I$31,"MOREL")+COUNTIF($F$4:$F$31,"MOREL")</f>
        <v>5</v>
      </c>
      <c r="F48" s="90">
        <f>COUNTIF($D$4:$D$31,"MOREL")+COUNTIF($G$4:$G$31,"MOREL")</f>
        <v>0</v>
      </c>
      <c r="G48" s="90">
        <f>COUNTIF($E$4:$E$31,"MOREL")</f>
        <v>1</v>
      </c>
      <c r="H48" s="90"/>
      <c r="I48" s="91"/>
      <c r="J48" s="91">
        <v>2.4</v>
      </c>
      <c r="K48" s="92">
        <f t="shared" si="2"/>
        <v>11.232000000000001</v>
      </c>
      <c r="L48" s="91">
        <f t="shared" si="3"/>
        <v>37.440000000000005</v>
      </c>
      <c r="M48" s="93">
        <f t="shared" si="5"/>
        <v>62</v>
      </c>
      <c r="N48" s="91">
        <f t="shared" si="4"/>
        <v>24.559999999999995</v>
      </c>
      <c r="O48" s="3" t="s">
        <v>70</v>
      </c>
      <c r="P48" s="3"/>
      <c r="Q48" s="3"/>
    </row>
    <row r="49" spans="1:23" ht="12" customHeight="1">
      <c r="A49" s="3"/>
      <c r="B49" s="3"/>
      <c r="C49" s="91" t="s">
        <v>27</v>
      </c>
      <c r="D49" s="95">
        <v>0.8</v>
      </c>
      <c r="E49" s="90">
        <f>COUNTIF($C$4:$C$31,"RACHIDI")+COUNTIF($I$4:$I$31,"RACHIDI")+COUNTIF($F$4:$F$31,"RACHIDI")</f>
        <v>5</v>
      </c>
      <c r="F49" s="90">
        <f>COUNTIF($D$4:$D$31,"RACHIDI")+COUNTIF($G$4:$G$31,"RACHIDI")</f>
        <v>5</v>
      </c>
      <c r="G49" s="90">
        <f>COUNTIF($E$4:$E$31,"RACHIDI")</f>
        <v>0</v>
      </c>
      <c r="H49" s="90"/>
      <c r="I49" s="91"/>
      <c r="J49" s="91">
        <v>4</v>
      </c>
      <c r="K49" s="92">
        <f t="shared" si="2"/>
        <v>20.16</v>
      </c>
      <c r="L49" s="91">
        <f t="shared" si="3"/>
        <v>81.12</v>
      </c>
      <c r="M49" s="93">
        <f t="shared" si="5"/>
        <v>120</v>
      </c>
      <c r="N49" s="91">
        <f t="shared" si="4"/>
        <v>38.879999999999995</v>
      </c>
      <c r="O49" s="3" t="s">
        <v>70</v>
      </c>
      <c r="P49" s="3"/>
      <c r="Q49" s="3"/>
    </row>
    <row r="50" spans="1:23" ht="12" customHeight="1">
      <c r="A50" s="3"/>
      <c r="B50" s="3"/>
      <c r="C50" s="91" t="s">
        <v>34</v>
      </c>
      <c r="D50" s="95">
        <v>1</v>
      </c>
      <c r="E50" s="90">
        <f>COUNTIF($C$4:$C$31,"ZEBICHE")+COUNTIF($I$4:$I$31,"ZEBICHE")+COUNTIF($F$4:$F$31,"ZEBICHE")</f>
        <v>6</v>
      </c>
      <c r="F50" s="90">
        <f>COUNTIF($D$4:$D$31,"ZEBICHE")+COUNTIF($G$4:$G$31,"ZEBICHE")</f>
        <v>7</v>
      </c>
      <c r="G50" s="90">
        <f>COUNTIF($E$4:$E$31,"ZEBICHE")</f>
        <v>0</v>
      </c>
      <c r="H50" s="90"/>
      <c r="I50" s="91"/>
      <c r="J50" s="91"/>
      <c r="K50" s="92">
        <f t="shared" si="2"/>
        <v>32.4</v>
      </c>
      <c r="L50" s="91">
        <f t="shared" si="3"/>
        <v>140.4</v>
      </c>
      <c r="M50" s="93">
        <f t="shared" si="5"/>
        <v>158</v>
      </c>
      <c r="N50" s="91">
        <f t="shared" si="4"/>
        <v>17.599999999999994</v>
      </c>
      <c r="O50" s="3" t="s">
        <v>70</v>
      </c>
      <c r="P50" s="3"/>
    </row>
    <row r="51" spans="1:23" ht="12" customHeight="1">
      <c r="A51" s="3"/>
      <c r="B51" s="3"/>
      <c r="C51" s="91" t="s">
        <v>22</v>
      </c>
      <c r="D51" s="95">
        <v>1</v>
      </c>
      <c r="E51" s="90">
        <v>7</v>
      </c>
      <c r="F51" s="90">
        <f>COUNTIF($D$4:$D$31,"HACHIMI")+COUNTIF($H$4:$H$31,"HACHIMI")+COUNTIF($G$4:$G$31,"HACHIMI")</f>
        <v>4</v>
      </c>
      <c r="G51" s="90">
        <f>COUNTIF($E$4:$E$31,"HACHIMI")</f>
        <v>0</v>
      </c>
      <c r="H51" s="90"/>
      <c r="I51" s="91"/>
      <c r="J51" s="91"/>
      <c r="K51" s="92">
        <f t="shared" si="2"/>
        <v>32.4</v>
      </c>
      <c r="L51" s="91">
        <f t="shared" si="3"/>
        <v>140.4</v>
      </c>
      <c r="M51" s="93">
        <f t="shared" si="5"/>
        <v>126</v>
      </c>
      <c r="N51" s="91">
        <f t="shared" si="4"/>
        <v>-14.400000000000006</v>
      </c>
      <c r="O51" s="3" t="s">
        <v>70</v>
      </c>
      <c r="P51" s="3"/>
    </row>
    <row r="52" spans="1:23" ht="12" customHeight="1">
      <c r="A52" s="3"/>
      <c r="B52" s="72"/>
      <c r="C52" s="91" t="s">
        <v>29</v>
      </c>
      <c r="D52" s="95">
        <v>1</v>
      </c>
      <c r="E52" s="90">
        <f>COUNTIF($C$4:$C$31,"BIENDOUX")+COUNTIF($H$4:$H$31,"BIENDOUX")+COUNTIF($I$4:$I$31,"BIENDOUX")+COUNTIF($F$4:$F$31,"BIENDOUX")+H62</f>
        <v>8</v>
      </c>
      <c r="F52" s="90">
        <f>COUNTIF($D$4:$D$31,"BIENDOUX")+COUNTIF($H$4:$H$31,"BIENDOUX")+COUNTIF($G$4:$G$31,"BIENDOUX")</f>
        <v>5</v>
      </c>
      <c r="G52" s="90">
        <f>COUNTIF($E$4:$E$31,"BIENDOUX")</f>
        <v>0</v>
      </c>
      <c r="H52" s="90"/>
      <c r="I52" s="91"/>
      <c r="J52" s="91">
        <v>10</v>
      </c>
      <c r="K52" s="92">
        <f t="shared" si="2"/>
        <v>14.399999999999999</v>
      </c>
      <c r="L52" s="91">
        <f t="shared" si="3"/>
        <v>62.400000000000006</v>
      </c>
      <c r="M52" s="93">
        <f t="shared" si="5"/>
        <v>150</v>
      </c>
      <c r="N52" s="91">
        <f t="shared" si="4"/>
        <v>87.6</v>
      </c>
      <c r="O52" s="1" t="s">
        <v>70</v>
      </c>
    </row>
    <row r="53" spans="1:23" ht="12" customHeight="1">
      <c r="A53" s="3"/>
      <c r="B53" s="96"/>
      <c r="C53" s="91" t="s">
        <v>48</v>
      </c>
      <c r="D53" s="95">
        <v>1</v>
      </c>
      <c r="E53" s="90">
        <f>COUNTIF($C$4:$C$31,"AFZAL")+COUNTIF($H$4:$H$31,"AFZAL")+COUNTIF($I$4:$I$31,"AFZAL")+COUNTIF($F$4:$F$31,"AFZAL")+H63</f>
        <v>10</v>
      </c>
      <c r="F53" s="90">
        <f>COUNTIF($D$4:$D$31,"AFZAL")+COUNTIF($H$4:$H$31,"AFZAL")+COUNTIF($G$4:$G$31,"AFZAL")</f>
        <v>2</v>
      </c>
      <c r="G53" s="90">
        <f>COUNTIF($E$4:$E$31,"AFZAL")</f>
        <v>0</v>
      </c>
      <c r="H53" s="90"/>
      <c r="I53" s="91"/>
      <c r="J53" s="91">
        <v>2</v>
      </c>
      <c r="K53" s="92">
        <f t="shared" si="2"/>
        <v>28.799999999999997</v>
      </c>
      <c r="L53" s="91">
        <f t="shared" si="3"/>
        <v>124.80000000000001</v>
      </c>
      <c r="M53" s="93">
        <f t="shared" si="5"/>
        <v>128</v>
      </c>
      <c r="N53" s="91">
        <f t="shared" si="4"/>
        <v>3.1999999999999886</v>
      </c>
      <c r="O53" s="57" t="s">
        <v>70</v>
      </c>
      <c r="P53" s="57"/>
      <c r="Q53" s="57"/>
    </row>
    <row r="54" spans="1:23" ht="12" customHeight="1">
      <c r="A54" s="3"/>
      <c r="B54" s="96"/>
      <c r="C54" s="91" t="s">
        <v>44</v>
      </c>
      <c r="D54" s="95">
        <v>1</v>
      </c>
      <c r="E54" s="90">
        <f>COUNTIF($C$4:$C$31,"IBRAHIM")+COUNTIF($H$4:$H$31,"IBRAHIM")+COUNTIF($F$4:$F$31,"IBRAHIM")+COUNTIF($I$4:$I$31,"IBRAHIM")+H64</f>
        <v>3</v>
      </c>
      <c r="F54" s="90">
        <f>COUNTIF($D$4:$D$31,"IBRAHIM")+COUNTIF($H$4:$H$31,"IBRAHIM")+COUNTIF($G$4:$G$31,"IBRAHIM")</f>
        <v>5</v>
      </c>
      <c r="G54" s="90">
        <f>COUNTIF($E$4:$E$31,"IBRAHIM")</f>
        <v>3</v>
      </c>
      <c r="H54" s="90"/>
      <c r="I54" s="91"/>
      <c r="J54" s="91">
        <v>4</v>
      </c>
      <c r="K54" s="92">
        <f t="shared" si="2"/>
        <v>25.2</v>
      </c>
      <c r="L54" s="91">
        <f t="shared" si="3"/>
        <v>109.2</v>
      </c>
      <c r="M54" s="93">
        <f t="shared" si="5"/>
        <v>136</v>
      </c>
      <c r="N54" s="91">
        <f t="shared" si="4"/>
        <v>26.799999999999997</v>
      </c>
      <c r="O54" s="57" t="s">
        <v>70</v>
      </c>
      <c r="P54" s="57"/>
      <c r="Q54" s="57"/>
    </row>
    <row r="55" spans="1:23" ht="12" customHeight="1">
      <c r="A55" s="3"/>
      <c r="B55" s="96"/>
      <c r="C55" s="91" t="s">
        <v>23</v>
      </c>
      <c r="D55" s="95">
        <v>1</v>
      </c>
      <c r="E55" s="90">
        <f>COUNTIF($C$4:$C$31,"IMAD")+COUNTIF($H$4:$H$31,"IMAD")+COUNTIF($I$4:$I$31,"IMAD")+COUNTIF($F$4:$F$31,"IMAD")+H65</f>
        <v>5</v>
      </c>
      <c r="F55" s="90">
        <f>COUNTIF($D$4:$D$31,"IMAD")+COUNTIF($H$4:$H$31,"IMAD")+COUNTIF($G$4:$G$31,"IMAD")</f>
        <v>4</v>
      </c>
      <c r="G55" s="90">
        <f>COUNTIF($E$4:$E$31,"IMAD")</f>
        <v>3</v>
      </c>
      <c r="H55" s="90"/>
      <c r="I55" s="91"/>
      <c r="J55" s="91">
        <v>5</v>
      </c>
      <c r="K55" s="92">
        <f t="shared" si="2"/>
        <v>23.4</v>
      </c>
      <c r="L55" s="91">
        <f t="shared" si="3"/>
        <v>101.4</v>
      </c>
      <c r="M55" s="93">
        <f t="shared" si="5"/>
        <v>142</v>
      </c>
      <c r="N55" s="91">
        <f t="shared" si="4"/>
        <v>40.599999999999994</v>
      </c>
      <c r="O55" s="57"/>
      <c r="P55" s="57"/>
      <c r="Q55" s="57"/>
    </row>
    <row r="56" spans="1:23" ht="12" customHeight="1">
      <c r="A56" s="3"/>
      <c r="B56" s="96"/>
      <c r="C56" s="91" t="s">
        <v>32</v>
      </c>
      <c r="D56" s="95">
        <v>1</v>
      </c>
      <c r="E56" s="90">
        <v>6</v>
      </c>
      <c r="F56" s="90">
        <v>5</v>
      </c>
      <c r="G56" s="90">
        <v>1</v>
      </c>
      <c r="H56" s="90"/>
      <c r="I56" s="91"/>
      <c r="J56" s="91">
        <v>2</v>
      </c>
      <c r="K56" s="92">
        <f t="shared" si="2"/>
        <v>28.799999999999997</v>
      </c>
      <c r="L56" s="91">
        <f t="shared" si="3"/>
        <v>124.80000000000001</v>
      </c>
      <c r="M56" s="93">
        <f t="shared" si="5"/>
        <v>142</v>
      </c>
      <c r="N56" s="91">
        <f t="shared" si="4"/>
        <v>17.199999999999989</v>
      </c>
      <c r="O56" s="57" t="s">
        <v>70</v>
      </c>
      <c r="P56" s="57"/>
      <c r="Q56" s="57"/>
    </row>
    <row r="57" spans="1:23" ht="12" customHeight="1">
      <c r="A57" s="3"/>
      <c r="B57" s="96"/>
      <c r="C57" s="91" t="s">
        <v>102</v>
      </c>
      <c r="D57" s="95">
        <v>1</v>
      </c>
      <c r="E57" s="90">
        <f>COUNTIF($C$4:$C$31,"TODY")+COUNTIF($H$4:$H$31,"TODY")+COUNTIF($F$4:$F$31,"TODY")+COUNTIF($I$4:$I$31,"TODY")+H67</f>
        <v>12</v>
      </c>
      <c r="F57" s="90">
        <f>COUNTIF($D$4:$D$31,"TODY")+COUNTIF($H$4:$H$31,"TODY")+COUNTIF($G$4:$G$31,"TODY")</f>
        <v>0</v>
      </c>
      <c r="G57" s="90">
        <f>COUNTIF($E$4:$E$31,"TODY")</f>
        <v>0</v>
      </c>
      <c r="H57" s="90"/>
      <c r="I57" s="91"/>
      <c r="J57" s="91"/>
      <c r="K57" s="92">
        <f t="shared" si="2"/>
        <v>32.4</v>
      </c>
      <c r="L57" s="91">
        <f t="shared" si="3"/>
        <v>140.4</v>
      </c>
      <c r="M57" s="93">
        <f t="shared" si="5"/>
        <v>120</v>
      </c>
      <c r="N57" s="91">
        <f t="shared" si="4"/>
        <v>-20.400000000000006</v>
      </c>
      <c r="O57" s="57"/>
      <c r="P57" s="57"/>
      <c r="Q57" s="57"/>
    </row>
    <row r="58" spans="1:23" ht="12" customHeight="1">
      <c r="A58" s="3"/>
      <c r="B58" s="96"/>
      <c r="C58" s="98"/>
      <c r="D58" s="98"/>
      <c r="E58" s="31"/>
      <c r="F58" s="99"/>
      <c r="G58" s="96"/>
      <c r="H58" s="100"/>
      <c r="I58" s="100"/>
      <c r="J58" s="100"/>
      <c r="K58" s="100"/>
      <c r="L58" s="101"/>
      <c r="M58" s="100"/>
      <c r="N58" s="57"/>
      <c r="O58" s="57"/>
      <c r="P58" s="57"/>
      <c r="Q58" s="57"/>
    </row>
    <row r="59" spans="1:23" ht="12" customHeight="1">
      <c r="A59" s="3"/>
      <c r="B59" s="96"/>
      <c r="C59" s="98"/>
      <c r="D59" s="98"/>
      <c r="E59" s="31"/>
      <c r="F59" s="99"/>
      <c r="G59" s="96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73"/>
      <c r="C60" s="371" t="s">
        <v>57</v>
      </c>
      <c r="D60" s="371"/>
      <c r="E60" s="371"/>
      <c r="F60" s="72"/>
      <c r="G60" s="98" t="s">
        <v>71</v>
      </c>
      <c r="H60" s="72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73"/>
      <c r="C61" s="159" t="s">
        <v>66</v>
      </c>
      <c r="D61" s="160" t="s">
        <v>67</v>
      </c>
      <c r="E61" s="366" t="s">
        <v>68</v>
      </c>
      <c r="F61" s="72"/>
      <c r="G61" s="87" t="s">
        <v>22</v>
      </c>
      <c r="H61" s="84"/>
      <c r="I61" s="100"/>
      <c r="J61" s="100"/>
      <c r="K61" s="100"/>
      <c r="L61" s="100"/>
      <c r="M61" s="100"/>
      <c r="N61" s="57"/>
      <c r="O61" s="57"/>
      <c r="P61" s="57"/>
      <c r="Q61" s="57"/>
    </row>
    <row r="62" spans="1:23" ht="13.5" customHeight="1">
      <c r="A62" s="3"/>
      <c r="B62" s="161"/>
      <c r="C62" s="102"/>
      <c r="D62" s="102"/>
      <c r="E62" s="162"/>
      <c r="F62" s="163">
        <f t="shared" ref="F62:F80" si="6">E62/24</f>
        <v>0</v>
      </c>
      <c r="G62" s="87" t="s">
        <v>29</v>
      </c>
      <c r="H62" s="84">
        <v>5</v>
      </c>
      <c r="I62" s="101"/>
      <c r="J62" s="101"/>
      <c r="K62" s="101"/>
      <c r="L62" s="101"/>
      <c r="M62" s="100"/>
      <c r="N62" s="57"/>
      <c r="O62" s="57"/>
      <c r="P62" s="57"/>
      <c r="Q62" s="57"/>
    </row>
    <row r="63" spans="1:23" ht="12" customHeight="1">
      <c r="A63" s="3"/>
      <c r="B63" s="164" t="s">
        <v>38</v>
      </c>
      <c r="C63" s="165">
        <f>JANVIER!L38+FEVRIER!L38+MARS!L45+AVRIL!L38</f>
        <v>538.20000000000005</v>
      </c>
      <c r="D63" s="165">
        <f>JANVIER!M38+FEVRIER!M38+MARS!M45+AVRIL!M38</f>
        <v>542</v>
      </c>
      <c r="E63" s="117">
        <f t="shared" ref="E63:E80" si="7">D63-C63</f>
        <v>3.7999999999999545</v>
      </c>
      <c r="F63" s="163">
        <f t="shared" si="6"/>
        <v>0.15833333333333144</v>
      </c>
      <c r="G63" s="87" t="s">
        <v>48</v>
      </c>
      <c r="H63" s="84">
        <v>9</v>
      </c>
      <c r="I63" s="100"/>
      <c r="J63" s="100"/>
      <c r="K63" s="100"/>
      <c r="L63" s="100"/>
      <c r="M63" s="100"/>
      <c r="N63" s="57"/>
      <c r="O63" s="57"/>
      <c r="P63" s="57"/>
      <c r="Q63" s="57"/>
    </row>
    <row r="64" spans="1:23" ht="12" customHeight="1">
      <c r="A64" s="3"/>
      <c r="B64" s="88" t="s">
        <v>36</v>
      </c>
      <c r="C64" s="165">
        <f>JANVIER!L39+FEVRIER!L39+MARS!L46+AVRIL!L39</f>
        <v>528.84</v>
      </c>
      <c r="D64" s="165">
        <f>JANVIER!M39+FEVRIER!M39+MARS!M46+AVRIL!M39</f>
        <v>684</v>
      </c>
      <c r="E64" s="91">
        <f t="shared" si="7"/>
        <v>155.15999999999997</v>
      </c>
      <c r="F64" s="163">
        <f t="shared" si="6"/>
        <v>6.464999999999999</v>
      </c>
      <c r="G64" s="87" t="s">
        <v>44</v>
      </c>
      <c r="H64" s="84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88" t="s">
        <v>21</v>
      </c>
      <c r="C65" s="165">
        <f>JANVIER!L40+FEVRIER!L40+MARS!L47+AVRIL!L40</f>
        <v>261.3</v>
      </c>
      <c r="D65" s="165">
        <f>JANVIER!M40+FEVRIER!M40+MARS!M47+AVRIL!M40</f>
        <v>314</v>
      </c>
      <c r="E65" s="91">
        <f t="shared" si="7"/>
        <v>52.699999999999989</v>
      </c>
      <c r="F65" s="163">
        <f t="shared" si="6"/>
        <v>2.1958333333333329</v>
      </c>
      <c r="G65" s="87" t="s">
        <v>23</v>
      </c>
      <c r="H65" s="84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88" t="s">
        <v>31</v>
      </c>
      <c r="C66" s="165">
        <f>JANVIER!L41+FEVRIER!L41+MARS!L48+AVRIL!L41</f>
        <v>449.28000000000003</v>
      </c>
      <c r="D66" s="165">
        <f>JANVIER!M41+FEVRIER!M41+MARS!M48+AVRIL!M41</f>
        <v>552</v>
      </c>
      <c r="E66" s="91">
        <f t="shared" si="7"/>
        <v>102.71999999999997</v>
      </c>
      <c r="F66" s="163">
        <f t="shared" si="6"/>
        <v>4.2799999999999985</v>
      </c>
      <c r="G66" s="87" t="s">
        <v>32</v>
      </c>
      <c r="H66" s="84"/>
      <c r="I66" s="100"/>
      <c r="J66" s="100"/>
      <c r="K66" s="100"/>
      <c r="L66" s="100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91" t="s">
        <v>28</v>
      </c>
      <c r="C67" s="165">
        <f>JANVIER!L42+FEVRIER!L42+MARS!L49+AVRIL!L42</f>
        <v>365.03999999999996</v>
      </c>
      <c r="D67" s="165">
        <f>JANVIER!M42+FEVRIER!M42+MARS!M49+AVRIL!M42</f>
        <v>346</v>
      </c>
      <c r="E67" s="91">
        <f t="shared" si="7"/>
        <v>-19.039999999999964</v>
      </c>
      <c r="F67" s="163">
        <f t="shared" si="6"/>
        <v>-0.79333333333333178</v>
      </c>
      <c r="G67" s="87" t="s">
        <v>102</v>
      </c>
      <c r="H67" s="84"/>
      <c r="I67" s="100"/>
      <c r="J67" s="100"/>
      <c r="K67" s="100"/>
      <c r="L67" s="101"/>
      <c r="M67" s="100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91" t="s">
        <v>42</v>
      </c>
      <c r="C68" s="165">
        <f>JANVIER!L43+FEVRIER!L43+MARS!L50+AVRIL!L43</f>
        <v>577.20000000000005</v>
      </c>
      <c r="D68" s="165">
        <f>JANVIER!M43+FEVRIER!M43+MARS!M50+AVRIL!M43</f>
        <v>558</v>
      </c>
      <c r="E68" s="91">
        <f t="shared" si="7"/>
        <v>-19.200000000000045</v>
      </c>
      <c r="F68" s="163">
        <f t="shared" si="6"/>
        <v>-0.80000000000000193</v>
      </c>
      <c r="G68" s="100"/>
      <c r="H68" s="31"/>
      <c r="I68" s="31"/>
      <c r="J68" s="31"/>
      <c r="K68" s="103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>
      <c r="A69" s="3"/>
      <c r="B69" s="91" t="s">
        <v>47</v>
      </c>
      <c r="C69" s="165">
        <f>JANVIER!L44+FEVRIER!L44+MARS!L51+AVRIL!L45</f>
        <v>323.7</v>
      </c>
      <c r="D69" s="165">
        <f>JANVIER!M44+FEVRIER!M44+MARS!M51+AVRIL!M45</f>
        <v>332</v>
      </c>
      <c r="E69" s="91">
        <f t="shared" si="7"/>
        <v>8.3000000000000114</v>
      </c>
      <c r="F69" s="163">
        <f t="shared" si="6"/>
        <v>0.34583333333333383</v>
      </c>
      <c r="G69" s="102" t="s">
        <v>14</v>
      </c>
      <c r="H69" s="166">
        <v>1</v>
      </c>
      <c r="I69" s="86" t="s">
        <v>112</v>
      </c>
      <c r="J69" s="86" t="s">
        <v>113</v>
      </c>
      <c r="K69" s="86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91" t="s">
        <v>20</v>
      </c>
      <c r="C70" s="165">
        <f>JANVIER!L45+FEVRIER!L45+MARS!L52+AVRIL!L46</f>
        <v>592.79999999999995</v>
      </c>
      <c r="D70" s="165">
        <f>JANVIER!M45+FEVRIER!M45+MARS!M52+AVRIL!M46</f>
        <v>646</v>
      </c>
      <c r="E70" s="91">
        <f t="shared" si="7"/>
        <v>53.200000000000045</v>
      </c>
      <c r="F70" s="163">
        <f t="shared" si="6"/>
        <v>2.2166666666666686</v>
      </c>
      <c r="G70" s="161" t="s">
        <v>38</v>
      </c>
      <c r="H70" s="167">
        <v>100</v>
      </c>
      <c r="I70" s="86">
        <f t="shared" ref="I70:I87" si="8">(44*H70)/100</f>
        <v>44</v>
      </c>
      <c r="J70" s="86">
        <f>JANVIER!J38+FEVRIER!J38+MARS!J45+J38</f>
        <v>14</v>
      </c>
      <c r="K70" s="86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91" t="s">
        <v>19</v>
      </c>
      <c r="C71" s="165">
        <f>JANVIER!L46+FEVRIER!L46+MARS!L53+AVRIL!L47</f>
        <v>258.96000000000004</v>
      </c>
      <c r="D71" s="165">
        <f>JANVIER!M46+FEVRIER!M46+MARS!M53+AVRIL!M47</f>
        <v>294</v>
      </c>
      <c r="E71" s="91">
        <f t="shared" si="7"/>
        <v>35.039999999999964</v>
      </c>
      <c r="F71" s="163">
        <f t="shared" si="6"/>
        <v>1.4599999999999984</v>
      </c>
      <c r="G71" s="161" t="s">
        <v>36</v>
      </c>
      <c r="H71" s="167">
        <v>100</v>
      </c>
      <c r="I71" s="86">
        <f t="shared" si="8"/>
        <v>44</v>
      </c>
      <c r="J71" s="86">
        <f>JANVIER!J39+FEVRIER!J39+MARS!J46+J39</f>
        <v>11.5</v>
      </c>
      <c r="K71" s="86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91" t="s">
        <v>37</v>
      </c>
      <c r="C72" s="165">
        <f>JANVIER!L47+FEVRIER!L47+MARS!L54+AVRIL!L48</f>
        <v>240.24</v>
      </c>
      <c r="D72" s="165">
        <f>JANVIER!M47+FEVRIER!M47+MARS!M54+AVRIL!M48</f>
        <v>294</v>
      </c>
      <c r="E72" s="91">
        <f t="shared" si="7"/>
        <v>53.759999999999991</v>
      </c>
      <c r="F72" s="163">
        <f t="shared" si="6"/>
        <v>2.2399999999999998</v>
      </c>
      <c r="G72" s="161" t="s">
        <v>21</v>
      </c>
      <c r="H72" s="167">
        <v>50</v>
      </c>
      <c r="I72" s="86">
        <f t="shared" si="8"/>
        <v>22</v>
      </c>
      <c r="J72" s="86">
        <f>JANVIER!J40+FEVRIER!J40+MARS!J47+J40</f>
        <v>10.5</v>
      </c>
      <c r="K72" s="86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91" t="s">
        <v>27</v>
      </c>
      <c r="C73" s="165">
        <f>JANVIER!L48+FEVRIER!L48+MARS!L55+AVRIL!L49</f>
        <v>299.52000000000004</v>
      </c>
      <c r="D73" s="165">
        <f>JANVIER!M48+FEVRIER!M48+MARS!M55+AVRIL!M49</f>
        <v>360</v>
      </c>
      <c r="E73" s="91">
        <f t="shared" si="7"/>
        <v>60.479999999999961</v>
      </c>
      <c r="F73" s="163">
        <f t="shared" si="6"/>
        <v>2.5199999999999982</v>
      </c>
      <c r="G73" s="161" t="s">
        <v>31</v>
      </c>
      <c r="H73" s="167">
        <v>80</v>
      </c>
      <c r="I73" s="86">
        <f t="shared" si="8"/>
        <v>35.200000000000003</v>
      </c>
      <c r="J73" s="86">
        <f>JANVIER!J41+FEVRIER!J41+MARS!J48+J41</f>
        <v>8.8000000000000007</v>
      </c>
      <c r="K73" s="86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91" t="s">
        <v>34</v>
      </c>
      <c r="C74" s="165">
        <f>JANVIER!L49+FEVRIER!L49+MARS!L56+AVRIL!L50</f>
        <v>647.4</v>
      </c>
      <c r="D74" s="165">
        <f>JANVIER!M49+FEVRIER!M49+MARS!M56+AVRIL!M50</f>
        <v>710</v>
      </c>
      <c r="E74" s="91">
        <f t="shared" si="7"/>
        <v>62.600000000000023</v>
      </c>
      <c r="F74" s="163">
        <f t="shared" si="6"/>
        <v>2.6083333333333343</v>
      </c>
      <c r="G74" s="162" t="s">
        <v>28</v>
      </c>
      <c r="H74" s="167">
        <v>60</v>
      </c>
      <c r="I74" s="86">
        <f t="shared" si="8"/>
        <v>26.4</v>
      </c>
      <c r="J74" s="86">
        <f>JANVIER!J42+FEVRIER!J42+MARS!J49+J42</f>
        <v>5</v>
      </c>
      <c r="K74" s="86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91" t="s">
        <v>22</v>
      </c>
      <c r="C75" s="165">
        <f>JANVIER!L50+FEVRIER!L50+MARS!L57+AVRIL!L51</f>
        <v>608.4</v>
      </c>
      <c r="D75" s="165">
        <f>JANVIER!M50+FEVRIER!M50+MARS!M57+AVRIL!M51</f>
        <v>648</v>
      </c>
      <c r="E75" s="91">
        <f t="shared" si="7"/>
        <v>39.600000000000023</v>
      </c>
      <c r="F75" s="163">
        <f t="shared" si="6"/>
        <v>1.650000000000001</v>
      </c>
      <c r="G75" s="162" t="s">
        <v>42</v>
      </c>
      <c r="H75" s="167">
        <v>100</v>
      </c>
      <c r="I75" s="86">
        <f t="shared" si="8"/>
        <v>44</v>
      </c>
      <c r="J75" s="86">
        <f>JANVIER!J43+FEVRIER!J43+MARS!J50+J43</f>
        <v>9</v>
      </c>
      <c r="K75" s="86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91" t="s">
        <v>29</v>
      </c>
      <c r="C76" s="165">
        <f>JANVIER!L51+FEVRIER!L51+MARS!L58+AVRIL!L52</f>
        <v>538.20000000000005</v>
      </c>
      <c r="D76" s="165">
        <f>JANVIER!M51+FEVRIER!M51+MARS!M58+AVRIL!M52</f>
        <v>614</v>
      </c>
      <c r="E76" s="91">
        <f t="shared" si="7"/>
        <v>75.799999999999955</v>
      </c>
      <c r="F76" s="163">
        <f t="shared" si="6"/>
        <v>3.1583333333333314</v>
      </c>
      <c r="G76" s="162" t="s">
        <v>47</v>
      </c>
      <c r="H76" s="167">
        <v>50</v>
      </c>
      <c r="I76" s="86">
        <f t="shared" si="8"/>
        <v>22</v>
      </c>
      <c r="J76" s="86">
        <f>JANVIER!J44+FEVRIER!J44+MARS!J51+J45</f>
        <v>0</v>
      </c>
      <c r="K76" s="86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91" t="s">
        <v>48</v>
      </c>
      <c r="C77" s="165">
        <f>JANVIER!L52+FEVRIER!L52+MARS!L59+AVRIL!L53</f>
        <v>600.59999999999991</v>
      </c>
      <c r="D77" s="165">
        <f>JANVIER!M52+FEVRIER!M52+MARS!M59+AVRIL!M53</f>
        <v>636</v>
      </c>
      <c r="E77" s="91">
        <f t="shared" si="7"/>
        <v>35.400000000000091</v>
      </c>
      <c r="F77" s="163">
        <f t="shared" si="6"/>
        <v>1.4750000000000039</v>
      </c>
      <c r="G77" s="162" t="s">
        <v>20</v>
      </c>
      <c r="H77" s="167">
        <v>100</v>
      </c>
      <c r="I77" s="86">
        <f t="shared" si="8"/>
        <v>44</v>
      </c>
      <c r="J77" s="86">
        <f>JANVIER!J45+FEVRIER!J45+MARS!J52+J46</f>
        <v>7</v>
      </c>
      <c r="K77" s="86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91" t="s">
        <v>44</v>
      </c>
      <c r="C78" s="165">
        <f>JANVIER!L53+FEVRIER!L53+MARS!L60+AVRIL!L54</f>
        <v>569.40000000000009</v>
      </c>
      <c r="D78" s="165">
        <f>JANVIER!M53+FEVRIER!M53+MARS!M60+AVRIL!M54</f>
        <v>573</v>
      </c>
      <c r="E78" s="91">
        <f t="shared" si="7"/>
        <v>3.5999999999999091</v>
      </c>
      <c r="F78" s="163">
        <f t="shared" si="6"/>
        <v>0.14999999999999622</v>
      </c>
      <c r="G78" s="162" t="s">
        <v>19</v>
      </c>
      <c r="H78" s="167">
        <v>40</v>
      </c>
      <c r="I78" s="86">
        <f t="shared" si="8"/>
        <v>17.600000000000001</v>
      </c>
      <c r="J78" s="86">
        <f>JANVIER!J46+FEVRIER!J46+MARS!J53+J47</f>
        <v>0</v>
      </c>
      <c r="K78" s="86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91" t="s">
        <v>23</v>
      </c>
      <c r="C79" s="165">
        <f>JANVIER!L54+FEVRIER!L54+MARS!L61+AVRIL!L55</f>
        <v>608.4</v>
      </c>
      <c r="D79" s="165">
        <f>JANVIER!M54+FEVRIER!M54+MARS!M61+AVRIL!M55</f>
        <v>624</v>
      </c>
      <c r="E79" s="91">
        <f t="shared" si="7"/>
        <v>15.600000000000023</v>
      </c>
      <c r="F79" s="163">
        <f t="shared" si="6"/>
        <v>0.65000000000000091</v>
      </c>
      <c r="G79" s="162" t="s">
        <v>37</v>
      </c>
      <c r="H79" s="167">
        <v>40</v>
      </c>
      <c r="I79" s="86">
        <f t="shared" si="8"/>
        <v>17.600000000000001</v>
      </c>
      <c r="J79" s="86">
        <f>JANVIER!J47+FEVRIER!J47+MARS!J54+J48</f>
        <v>2.4</v>
      </c>
      <c r="K79" s="86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91" t="s">
        <v>32</v>
      </c>
      <c r="C80" s="165">
        <f>JANVIER!L55+FEVRIER!L55+MARS!L62+AVRIL!L56</f>
        <v>577.20000000000005</v>
      </c>
      <c r="D80" s="165">
        <f>JANVIER!M55+FEVRIER!M55+MARS!M62+AVRIL!M56</f>
        <v>596</v>
      </c>
      <c r="E80" s="91">
        <f t="shared" si="7"/>
        <v>18.799999999999955</v>
      </c>
      <c r="F80" s="163">
        <f t="shared" si="6"/>
        <v>0.78333333333333144</v>
      </c>
      <c r="G80" s="162" t="s">
        <v>27</v>
      </c>
      <c r="H80" s="167">
        <v>80</v>
      </c>
      <c r="I80" s="86">
        <f t="shared" si="8"/>
        <v>35.200000000000003</v>
      </c>
      <c r="J80" s="86">
        <f>JANVIER!J48+FEVRIER!J48+MARS!J55+J49-20</f>
        <v>8</v>
      </c>
      <c r="K80" s="86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162" t="s">
        <v>34</v>
      </c>
      <c r="H81" s="167">
        <v>100</v>
      </c>
      <c r="I81" s="86">
        <f t="shared" si="8"/>
        <v>44</v>
      </c>
      <c r="J81" s="86">
        <f>JANVIER!J49+FEVRIER!J49+MARS!J56+J50</f>
        <v>0</v>
      </c>
      <c r="K81" s="86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162" t="s">
        <v>22</v>
      </c>
      <c r="H82" s="167">
        <v>100</v>
      </c>
      <c r="I82" s="86">
        <f t="shared" si="8"/>
        <v>44</v>
      </c>
      <c r="J82" s="86">
        <f>JANVIER!J50+FEVRIER!J50+MARS!J57+J51</f>
        <v>5</v>
      </c>
      <c r="K82" s="86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D83" s="72"/>
      <c r="E83" s="72"/>
      <c r="F83" s="72"/>
      <c r="G83" s="162" t="s">
        <v>29</v>
      </c>
      <c r="H83" s="167">
        <v>100</v>
      </c>
      <c r="I83" s="86">
        <f t="shared" si="8"/>
        <v>44</v>
      </c>
      <c r="J83" s="86">
        <f>JANVIER!J51+FEVRIER!J51+MARS!J58+J52</f>
        <v>14</v>
      </c>
      <c r="K83" s="86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D84" s="72"/>
      <c r="E84" s="72"/>
      <c r="F84" s="72"/>
      <c r="G84" s="162" t="s">
        <v>48</v>
      </c>
      <c r="H84" s="167">
        <v>100</v>
      </c>
      <c r="I84" s="86">
        <f t="shared" si="8"/>
        <v>44</v>
      </c>
      <c r="J84" s="86">
        <f>JANVIER!J52+FEVRIER!J52+MARS!J59+J53</f>
        <v>6</v>
      </c>
      <c r="K84" s="86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D85" s="72"/>
      <c r="E85" s="72"/>
      <c r="F85" s="72"/>
      <c r="G85" s="162" t="s">
        <v>44</v>
      </c>
      <c r="H85" s="167">
        <v>100</v>
      </c>
      <c r="I85" s="86">
        <f t="shared" si="8"/>
        <v>44</v>
      </c>
      <c r="J85" s="86">
        <f>JANVIER!J53+FEVRIER!J53+MARS!J60+J54</f>
        <v>10</v>
      </c>
      <c r="K85" s="86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D86" s="72"/>
      <c r="E86" s="72"/>
      <c r="F86" s="72"/>
      <c r="G86" s="162" t="s">
        <v>23</v>
      </c>
      <c r="H86" s="167">
        <v>100</v>
      </c>
      <c r="I86" s="86">
        <f t="shared" si="8"/>
        <v>44</v>
      </c>
      <c r="J86" s="86">
        <f>JANVIER!J54+FEVRIER!J54+MARS!J61+J55</f>
        <v>5</v>
      </c>
      <c r="K86" s="86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D87" s="72"/>
      <c r="E87" s="72"/>
      <c r="F87" s="72"/>
      <c r="G87" s="162" t="s">
        <v>32</v>
      </c>
      <c r="H87" s="167">
        <v>100</v>
      </c>
      <c r="I87" s="86">
        <f t="shared" si="8"/>
        <v>44</v>
      </c>
      <c r="J87" s="86">
        <f>JANVIER!J55+FEVRIER!J55+MARS!J62+J56</f>
        <v>9</v>
      </c>
      <c r="K87" s="86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  <row r="870" spans="11:23" s="1" customFormat="1" ht="15" customHeight="1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5.25" style="2" customWidth="1"/>
    <col min="12" max="12" width="15.25" style="1" customWidth="1"/>
    <col min="13" max="13" width="9.625" style="1" customWidth="1"/>
    <col min="14" max="14" width="13.375" style="1" customWidth="1"/>
    <col min="15" max="15" width="8" style="1" customWidth="1"/>
    <col min="16" max="16" width="6.5" style="1" customWidth="1"/>
    <col min="17" max="17" width="5.625" style="1" customWidth="1"/>
    <col min="18" max="18" width="5" style="1" customWidth="1"/>
    <col min="19" max="20" width="6.125" style="1" customWidth="1"/>
    <col min="21" max="23" width="10.625" style="1" customWidth="1"/>
    <col min="24" max="16384" width="17.125" style="1"/>
  </cols>
  <sheetData>
    <row r="1" spans="1:25" ht="14.25" customHeight="1">
      <c r="A1" s="367" t="s">
        <v>115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8" t="s">
        <v>1</v>
      </c>
      <c r="D2" s="368"/>
      <c r="E2" s="4" t="s">
        <v>2</v>
      </c>
      <c r="F2" s="369" t="s">
        <v>3</v>
      </c>
      <c r="G2" s="369"/>
      <c r="H2" s="5"/>
      <c r="I2" s="5"/>
      <c r="J2" s="5"/>
      <c r="K2" s="6"/>
      <c r="L2" s="370" t="s">
        <v>4</v>
      </c>
      <c r="M2" s="370"/>
      <c r="N2" s="370"/>
      <c r="O2" s="370"/>
      <c r="P2" s="370"/>
      <c r="Q2" s="370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168" t="s">
        <v>5</v>
      </c>
      <c r="B3" s="16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9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>
      <c r="A4" s="170" t="s">
        <v>18</v>
      </c>
      <c r="B4" s="171">
        <v>45781</v>
      </c>
      <c r="C4" s="32" t="s">
        <v>38</v>
      </c>
      <c r="D4" s="33" t="s">
        <v>38</v>
      </c>
      <c r="E4" s="147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2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>
      <c r="A5" s="170" t="s">
        <v>26</v>
      </c>
      <c r="B5" s="171">
        <v>45782</v>
      </c>
      <c r="C5" s="51" t="s">
        <v>102</v>
      </c>
      <c r="D5" s="147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2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>
      <c r="A6" s="170" t="s">
        <v>30</v>
      </c>
      <c r="B6" s="171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2"/>
      <c r="M6" s="172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>
      <c r="A7" s="170" t="s">
        <v>33</v>
      </c>
      <c r="B7" s="171">
        <v>45784</v>
      </c>
      <c r="C7" s="32" t="s">
        <v>38</v>
      </c>
      <c r="D7" s="147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2"/>
      <c r="M7" s="172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>
      <c r="A8" s="173" t="s">
        <v>35</v>
      </c>
      <c r="B8" s="174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5"/>
      <c r="L8" s="175"/>
      <c r="M8" s="44"/>
      <c r="N8" s="176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173" t="s">
        <v>41</v>
      </c>
      <c r="B9" s="174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7" t="s">
        <v>119</v>
      </c>
      <c r="J9" s="42"/>
      <c r="K9" s="43"/>
      <c r="L9" s="44"/>
      <c r="M9" s="44"/>
      <c r="N9" s="178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>
      <c r="A10" s="173" t="s">
        <v>43</v>
      </c>
      <c r="B10" s="174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9" t="s">
        <v>19</v>
      </c>
      <c r="J10" s="42"/>
      <c r="K10" s="43"/>
      <c r="L10" s="44"/>
      <c r="M10" s="44"/>
      <c r="N10" s="178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>
      <c r="A11" s="170" t="s">
        <v>18</v>
      </c>
      <c r="B11" s="171">
        <v>45788</v>
      </c>
      <c r="C11" s="33" t="s">
        <v>36</v>
      </c>
      <c r="D11" s="33" t="s">
        <v>36</v>
      </c>
      <c r="E11" s="147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80"/>
      <c r="M11" s="34"/>
      <c r="N11" s="181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>
      <c r="A12" s="170" t="s">
        <v>26</v>
      </c>
      <c r="B12" s="171">
        <v>45789</v>
      </c>
      <c r="C12" s="32" t="s">
        <v>42</v>
      </c>
      <c r="D12" s="147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2"/>
      <c r="K12" s="183" t="s">
        <v>121</v>
      </c>
      <c r="L12" s="180"/>
      <c r="M12" s="30" t="s">
        <v>122</v>
      </c>
      <c r="N12" s="181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>
      <c r="A13" s="170" t="s">
        <v>30</v>
      </c>
      <c r="B13" s="171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4" t="s">
        <v>36</v>
      </c>
      <c r="K13" s="32" t="s">
        <v>120</v>
      </c>
      <c r="L13" s="180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>
      <c r="A14" s="173" t="s">
        <v>33</v>
      </c>
      <c r="B14" s="174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5"/>
      <c r="L14" s="185"/>
      <c r="M14" s="55" t="s">
        <v>122</v>
      </c>
      <c r="N14" s="176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>
      <c r="A15" s="170" t="s">
        <v>35</v>
      </c>
      <c r="B15" s="171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1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>
      <c r="A16" s="173" t="s">
        <v>41</v>
      </c>
      <c r="B16" s="174">
        <v>45793</v>
      </c>
      <c r="C16" s="39" t="s">
        <v>36</v>
      </c>
      <c r="D16" s="186" t="s">
        <v>36</v>
      </c>
      <c r="E16" s="51" t="s">
        <v>102</v>
      </c>
      <c r="F16" s="40" t="s">
        <v>37</v>
      </c>
      <c r="G16" s="51" t="s">
        <v>22</v>
      </c>
      <c r="H16" s="41"/>
      <c r="I16" s="177" t="s">
        <v>119</v>
      </c>
      <c r="J16" s="42"/>
      <c r="K16" s="43"/>
      <c r="L16" s="55"/>
      <c r="M16" s="55" t="s">
        <v>122</v>
      </c>
      <c r="N16" s="135"/>
      <c r="O16" s="55"/>
      <c r="P16" s="31"/>
      <c r="Q16" s="31"/>
      <c r="R16" s="3"/>
      <c r="S16" s="3"/>
      <c r="T16" s="3"/>
    </row>
    <row r="17" spans="1:24" ht="12.75" customHeight="1">
      <c r="A17" s="173" t="s">
        <v>43</v>
      </c>
      <c r="B17" s="174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7"/>
      <c r="K17" s="43"/>
      <c r="L17" s="55"/>
      <c r="M17" s="188" t="s">
        <v>124</v>
      </c>
      <c r="N17" s="135"/>
      <c r="O17" s="55"/>
      <c r="P17" s="56"/>
      <c r="Q17" s="31"/>
      <c r="R17" s="3"/>
      <c r="S17" s="3"/>
      <c r="T17" s="3"/>
    </row>
    <row r="18" spans="1:24" ht="12.75" customHeight="1">
      <c r="A18" s="170" t="s">
        <v>18</v>
      </c>
      <c r="B18" s="171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9"/>
      <c r="K18" s="52" t="s">
        <v>20</v>
      </c>
      <c r="L18" s="30" t="s">
        <v>125</v>
      </c>
      <c r="M18" s="188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>
      <c r="A19" s="170" t="s">
        <v>26</v>
      </c>
      <c r="B19" s="171">
        <v>45796</v>
      </c>
      <c r="C19" s="190" t="s">
        <v>42</v>
      </c>
      <c r="D19" s="147" t="s">
        <v>42</v>
      </c>
      <c r="E19" s="191" t="s">
        <v>44</v>
      </c>
      <c r="F19" s="33" t="s">
        <v>38</v>
      </c>
      <c r="G19" s="33" t="s">
        <v>38</v>
      </c>
      <c r="H19" s="32"/>
      <c r="I19" s="33" t="s">
        <v>21</v>
      </c>
      <c r="J19" s="189"/>
      <c r="K19" s="52" t="s">
        <v>20</v>
      </c>
      <c r="L19" s="62" t="s">
        <v>125</v>
      </c>
      <c r="M19" s="188" t="s">
        <v>124</v>
      </c>
      <c r="N19" s="28"/>
      <c r="O19" s="30"/>
      <c r="P19" s="56"/>
      <c r="Q19" s="31"/>
      <c r="R19" s="3"/>
      <c r="S19" s="3"/>
      <c r="T19" s="3"/>
      <c r="U19" s="192"/>
    </row>
    <row r="20" spans="1:24" ht="12.75" customHeight="1">
      <c r="A20" s="170" t="s">
        <v>30</v>
      </c>
      <c r="B20" s="171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3"/>
      <c r="K20" s="193"/>
      <c r="L20" s="30" t="s">
        <v>126</v>
      </c>
      <c r="M20" s="188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>
      <c r="A21" s="170" t="s">
        <v>33</v>
      </c>
      <c r="B21" s="171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8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>
      <c r="A22" s="170" t="s">
        <v>35</v>
      </c>
      <c r="B22" s="171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8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>
      <c r="A23" s="173" t="s">
        <v>41</v>
      </c>
      <c r="B23" s="174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8" t="s">
        <v>129</v>
      </c>
      <c r="N23" s="135"/>
      <c r="O23" s="55"/>
      <c r="P23" s="56"/>
      <c r="Q23" s="31"/>
      <c r="R23" s="3"/>
      <c r="S23" s="3"/>
      <c r="T23" s="3"/>
    </row>
    <row r="24" spans="1:24" ht="12.75" customHeight="1">
      <c r="A24" s="173" t="s">
        <v>43</v>
      </c>
      <c r="B24" s="174">
        <v>45801</v>
      </c>
      <c r="C24" s="108" t="s">
        <v>36</v>
      </c>
      <c r="D24" s="41" t="s">
        <v>36</v>
      </c>
      <c r="E24" s="51" t="s">
        <v>44</v>
      </c>
      <c r="F24" s="39" t="s">
        <v>20</v>
      </c>
      <c r="G24" s="194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8" t="s">
        <v>129</v>
      </c>
      <c r="N24" s="135"/>
      <c r="O24" s="55"/>
      <c r="P24" s="56"/>
      <c r="Q24" s="56"/>
      <c r="R24" s="3"/>
      <c r="S24" s="3"/>
      <c r="T24" s="3"/>
    </row>
    <row r="25" spans="1:24" ht="12.75" customHeight="1">
      <c r="A25" s="173" t="s">
        <v>18</v>
      </c>
      <c r="B25" s="174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9" t="s">
        <v>32</v>
      </c>
      <c r="I25" s="54" t="s">
        <v>21</v>
      </c>
      <c r="J25" s="55"/>
      <c r="K25" s="135"/>
      <c r="L25" s="55" t="s">
        <v>132</v>
      </c>
      <c r="M25" s="188" t="s">
        <v>129</v>
      </c>
      <c r="N25" s="135"/>
      <c r="O25" s="55"/>
      <c r="P25" s="31"/>
      <c r="Q25" s="56"/>
      <c r="R25" s="3"/>
      <c r="S25" s="3"/>
      <c r="T25" s="3"/>
    </row>
    <row r="26" spans="1:24" ht="13.5" customHeight="1">
      <c r="A26" s="195" t="s">
        <v>26</v>
      </c>
      <c r="B26" s="171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8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>
      <c r="A27" s="170" t="s">
        <v>30</v>
      </c>
      <c r="B27" s="171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>
      <c r="A28" s="170" t="s">
        <v>33</v>
      </c>
      <c r="B28" s="171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171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174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6" t="s">
        <v>22</v>
      </c>
      <c r="J30" s="42"/>
      <c r="K30" s="43"/>
      <c r="L30" s="55" t="s">
        <v>132</v>
      </c>
      <c r="M30" s="55" t="s">
        <v>122</v>
      </c>
      <c r="N30" s="135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>
      <c r="A31" s="173" t="s">
        <v>43</v>
      </c>
      <c r="B31" s="174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5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C32" s="71"/>
      <c r="D32" s="71"/>
      <c r="F32" s="20"/>
      <c r="P32" s="57"/>
      <c r="Q32" s="31"/>
    </row>
    <row r="33" spans="1:22" ht="12.75" customHeight="1">
      <c r="A33" s="370" t="s">
        <v>53</v>
      </c>
      <c r="B33" s="370"/>
      <c r="C33" s="370"/>
      <c r="D33" s="370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66"/>
      <c r="O35" s="78"/>
      <c r="P35" s="78"/>
    </row>
    <row r="36" spans="1:22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6" t="s">
        <v>63</v>
      </c>
      <c r="J36" s="366" t="s">
        <v>64</v>
      </c>
      <c r="K36" s="366" t="s">
        <v>65</v>
      </c>
      <c r="L36" s="366" t="s">
        <v>66</v>
      </c>
      <c r="M36" s="77" t="s">
        <v>67</v>
      </c>
      <c r="N36" s="366" t="s">
        <v>68</v>
      </c>
      <c r="O36" s="78"/>
      <c r="P36" s="78"/>
    </row>
    <row r="37" spans="1:22" ht="12" customHeight="1">
      <c r="A37" s="73"/>
      <c r="B37" s="73"/>
      <c r="C37" s="88" t="s">
        <v>38</v>
      </c>
      <c r="D37" s="89">
        <v>1</v>
      </c>
      <c r="E37" s="90">
        <f>COUNTIF($C$4:$C$31,"BOULAT")+COUNTIF($I$4:$I$31,"BOULAT")+COUNTIF($F$4:$F$31,"BOULAT")</f>
        <v>6</v>
      </c>
      <c r="F37" s="90">
        <f>COUNTIF($D$4:$D$31,"BOULAT")+COUNTIF($G$4:$G$31,"BOULAT")</f>
        <v>7</v>
      </c>
      <c r="G37" s="90">
        <f>COUNTIF($E$4:$E$31,"BOULAT")</f>
        <v>0</v>
      </c>
      <c r="H37" s="88"/>
      <c r="I37" s="90"/>
      <c r="J37" s="91"/>
      <c r="K37" s="197">
        <f t="shared" ref="K37:K55" si="0">D37*((9*$D$35)-($F$35*9/5))-(D37*(J37*1.8))</f>
        <v>30.6</v>
      </c>
      <c r="L37" s="91">
        <f t="shared" ref="L37:L55" si="1">D37*((39*$D$35)-($F$35*39/5))-(J37*7.8)</f>
        <v>132.6</v>
      </c>
      <c r="M37" s="93">
        <f>E37*10+F37*14+G37*12</f>
        <v>158</v>
      </c>
      <c r="N37" s="91">
        <f t="shared" ref="N37:N55" si="2">M37-L37</f>
        <v>25.400000000000006</v>
      </c>
      <c r="O37" s="3"/>
      <c r="P37" s="3"/>
    </row>
    <row r="38" spans="1:22" ht="12.75" customHeight="1">
      <c r="A38" s="73"/>
      <c r="B38" s="73"/>
      <c r="C38" s="88" t="s">
        <v>36</v>
      </c>
      <c r="D38" s="89">
        <v>1</v>
      </c>
      <c r="E38" s="90">
        <f>COUNTIF($C$4:$C$31,"BRUGIROUX")+COUNTIF($I$4:$I$31,"BRUGIROUX")+COUNTIF($F$4:$F$31,"BRUGIROUX")</f>
        <v>7</v>
      </c>
      <c r="F38" s="90">
        <f>COUNTIF($D$4:$D$31,"BRUGIROUX")+COUNTIF($G$4:$G$31,"BRUGIROUX")</f>
        <v>7</v>
      </c>
      <c r="G38" s="90">
        <f>COUNTIF($E$4:$E$31,"BRUGIROUX")</f>
        <v>0</v>
      </c>
      <c r="H38" s="88">
        <v>2</v>
      </c>
      <c r="I38" s="90"/>
      <c r="J38" s="91"/>
      <c r="K38" s="197">
        <f t="shared" si="0"/>
        <v>30.6</v>
      </c>
      <c r="L38" s="91">
        <f t="shared" si="1"/>
        <v>132.6</v>
      </c>
      <c r="M38" s="93">
        <f>E38*10+F38*14+G38*12+H38*10</f>
        <v>188</v>
      </c>
      <c r="N38" s="91">
        <f t="shared" si="2"/>
        <v>55.400000000000006</v>
      </c>
      <c r="O38" s="3"/>
      <c r="P38" s="3"/>
    </row>
    <row r="39" spans="1:22" ht="12.75" customHeight="1">
      <c r="A39" s="73"/>
      <c r="B39" s="73"/>
      <c r="C39" s="88" t="s">
        <v>21</v>
      </c>
      <c r="D39" s="94">
        <v>0.5</v>
      </c>
      <c r="E39" s="90">
        <f>COUNTIF($C$4:$C$31,"CAUVY")+COUNTIF($F$4:$F$31,"CAUVY")+COUNTIF($I$4:$I$31,"CAUVY")</f>
        <v>5</v>
      </c>
      <c r="F39" s="90">
        <f>COUNTIF($D$4:$D$31,"CAUVY")+COUNTIF($G$4:$G$31,"CAUVY")</f>
        <v>0</v>
      </c>
      <c r="G39" s="90">
        <f>COUNTIF($E$4:$E$31,"CAUVY")</f>
        <v>5</v>
      </c>
      <c r="H39" s="90"/>
      <c r="I39" s="90">
        <f>COUNTIF($K$4:$K$31,"CAUVY")</f>
        <v>0</v>
      </c>
      <c r="J39" s="91"/>
      <c r="K39" s="197">
        <f t="shared" si="0"/>
        <v>15.3</v>
      </c>
      <c r="L39" s="91">
        <f t="shared" si="1"/>
        <v>66.3</v>
      </c>
      <c r="M39" s="93">
        <f>E39*10+F39*14+G39*12+H39*10</f>
        <v>110</v>
      </c>
      <c r="N39" s="91">
        <f t="shared" si="2"/>
        <v>43.7</v>
      </c>
      <c r="O39" s="3"/>
      <c r="P39" s="3"/>
    </row>
    <row r="40" spans="1:22" ht="12" customHeight="1">
      <c r="A40" s="73"/>
      <c r="B40" s="73"/>
      <c r="C40" s="88" t="s">
        <v>31</v>
      </c>
      <c r="D40" s="94">
        <v>0.8</v>
      </c>
      <c r="E40" s="90">
        <f>COUNTIF($C$4:$C$31,"FONTAINE")+COUNTIF($I$4:$I$31,"FONTAINE")+COUNTIF($F$4:$F$31,"FONTAINE")</f>
        <v>6</v>
      </c>
      <c r="F40" s="90">
        <f>COUNTIF($D$4:$D$31,"FONTAINE")+COUNTIF($G$4:$G$31,"FONTAINE")</f>
        <v>5</v>
      </c>
      <c r="G40" s="90">
        <f>COUNTIF($E$4:$E$31,"FONTAINE")</f>
        <v>2</v>
      </c>
      <c r="H40" s="88"/>
      <c r="I40" s="90"/>
      <c r="J40" s="91"/>
      <c r="K40" s="197">
        <f t="shared" si="0"/>
        <v>24.480000000000004</v>
      </c>
      <c r="L40" s="91">
        <f t="shared" si="1"/>
        <v>106.08</v>
      </c>
      <c r="M40" s="93">
        <f>E40*10+F40*14+G40*12</f>
        <v>154</v>
      </c>
      <c r="N40" s="91">
        <f t="shared" si="2"/>
        <v>47.92</v>
      </c>
      <c r="O40" s="3"/>
      <c r="P40" s="3"/>
    </row>
    <row r="41" spans="1:22" ht="12" customHeight="1">
      <c r="A41" s="3"/>
      <c r="B41" s="3"/>
      <c r="C41" s="91" t="s">
        <v>28</v>
      </c>
      <c r="D41" s="95">
        <v>0.6</v>
      </c>
      <c r="E41" s="90">
        <f>COUNTIF($C$4:$C$31,"KANTCHE")+COUNTIF($I$4:$I$31,"KANTCHE")+COUNTIF($F$4:$F$31,"KANTCHE")</f>
        <v>5</v>
      </c>
      <c r="F41" s="90">
        <f>COUNTIF($D$4:$D$31,"KANTCHE")+COUNTIF($G$4:$G$31,"KANTCHE")</f>
        <v>3</v>
      </c>
      <c r="G41" s="90">
        <f>COUNTIF($E$4:$E$31,"KANTCHE")</f>
        <v>2</v>
      </c>
      <c r="H41" s="91"/>
      <c r="I41" s="91"/>
      <c r="J41" s="91"/>
      <c r="K41" s="197">
        <f t="shared" si="0"/>
        <v>18.36</v>
      </c>
      <c r="L41" s="91">
        <f t="shared" si="1"/>
        <v>79.559999999999988</v>
      </c>
      <c r="M41" s="93">
        <f>E41*10+F41*14+G41*12</f>
        <v>116</v>
      </c>
      <c r="N41" s="91">
        <f t="shared" si="2"/>
        <v>36.440000000000012</v>
      </c>
      <c r="O41" s="3"/>
      <c r="P41" s="3"/>
      <c r="Q41" s="3"/>
      <c r="R41" s="3"/>
    </row>
    <row r="42" spans="1:22" ht="12" customHeight="1">
      <c r="A42" s="3"/>
      <c r="B42" s="3"/>
      <c r="C42" s="91" t="s">
        <v>42</v>
      </c>
      <c r="D42" s="95">
        <v>1</v>
      </c>
      <c r="E42" s="90">
        <f>COUNTIF($C$4:$C$31,"ORIOLI")+COUNTIF($I$4:$I$31,"ORIOLI")+COUNTIF($F$4:$F$31,"ORIOLI")</f>
        <v>3</v>
      </c>
      <c r="F42" s="90">
        <f>COUNTIF($D$4:$D$31,"ORIOLI")+COUNTIF($G$4:$G$31,"ORIOLI")</f>
        <v>3</v>
      </c>
      <c r="G42" s="90">
        <f>COUNTIF($E$4:$E$31,"ORIOLI")</f>
        <v>0</v>
      </c>
      <c r="H42" s="91"/>
      <c r="I42" s="91"/>
      <c r="J42" s="91">
        <v>10</v>
      </c>
      <c r="K42" s="197">
        <f t="shared" si="0"/>
        <v>12.600000000000001</v>
      </c>
      <c r="L42" s="91">
        <f t="shared" si="1"/>
        <v>54.599999999999994</v>
      </c>
      <c r="M42" s="93">
        <f>E42*10+F42*14+G42*12</f>
        <v>72</v>
      </c>
      <c r="N42" s="91">
        <f t="shared" si="2"/>
        <v>17.400000000000006</v>
      </c>
      <c r="O42" s="3"/>
      <c r="P42" s="3"/>
      <c r="Q42" s="3"/>
      <c r="R42" s="3"/>
    </row>
    <row r="43" spans="1:22" ht="12" customHeight="1">
      <c r="A43" s="3"/>
      <c r="B43" s="3"/>
      <c r="C43" s="91" t="s">
        <v>47</v>
      </c>
      <c r="D43" s="95">
        <v>0.5</v>
      </c>
      <c r="E43" s="90">
        <f>COUNTIF($C$4:$C$31,"TKATCHOUK")+COUNTIF($F$4:$F$31,"TKATCHOUK")+COUNTIF($I$4:$I$31,"TKATCHOUK")</f>
        <v>0</v>
      </c>
      <c r="F43" s="90">
        <f>COUNTIF($D$4:$D$31,"TKATCHOUK")+COUNTIF($G$4:$G$31,"TKATCHOUK")</f>
        <v>0</v>
      </c>
      <c r="G43" s="90">
        <f>COUNTIF($E$4:$E$31,"TKATCHOUK")</f>
        <v>3</v>
      </c>
      <c r="H43" s="91"/>
      <c r="I43" s="91"/>
      <c r="J43" s="91">
        <v>2</v>
      </c>
      <c r="K43" s="197">
        <f t="shared" si="0"/>
        <v>13.5</v>
      </c>
      <c r="L43" s="91">
        <f t="shared" si="1"/>
        <v>50.699999999999996</v>
      </c>
      <c r="M43" s="93">
        <f>E43*10+F43*14+G43*12</f>
        <v>36</v>
      </c>
      <c r="N43" s="91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>
      <c r="A44" s="3"/>
      <c r="B44" s="3"/>
      <c r="C44" s="91" t="s">
        <v>20</v>
      </c>
      <c r="D44" s="95">
        <v>1</v>
      </c>
      <c r="E44" s="90">
        <v>7</v>
      </c>
      <c r="F44" s="90">
        <f>COUNTIF($D$4:$D$31,"TORREGROSSA")+COUNTIF($G$4:$G$31,"TORREGROSSA")</f>
        <v>3</v>
      </c>
      <c r="G44" s="90">
        <f>+COUNTIF($E$4:$E$31,"TORREGROSSA")</f>
        <v>1</v>
      </c>
      <c r="H44" s="90">
        <f>+COUNTIF($J$4:$J$31,"TORREGROSSA")</f>
        <v>2</v>
      </c>
      <c r="I44" s="91"/>
      <c r="J44" s="91"/>
      <c r="K44" s="197">
        <f t="shared" si="0"/>
        <v>30.6</v>
      </c>
      <c r="L44" s="91">
        <f t="shared" si="1"/>
        <v>132.6</v>
      </c>
      <c r="M44" s="93">
        <f>E44*10+F44*14+G44*12+H44*10</f>
        <v>144</v>
      </c>
      <c r="N44" s="91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>
      <c r="A45" s="3"/>
      <c r="B45" s="3"/>
      <c r="C45" s="91" t="s">
        <v>19</v>
      </c>
      <c r="D45" s="95">
        <v>0.4</v>
      </c>
      <c r="E45" s="90">
        <f>COUNTIF($C$4:$C$31,"BALLOT")+COUNTIF($I$4:$I$31,"BALLOT")+COUNTIF($F$4:$F$31,"BALLOT")</f>
        <v>2</v>
      </c>
      <c r="F45" s="90">
        <f>COUNTIF($D$4:$D$31,"BALLOT")+COUNTIF($G$4:$G$31,"BALLOT")</f>
        <v>0</v>
      </c>
      <c r="G45" s="90">
        <f>COUNTIF($E$4:$E$31,"BALLOT")</f>
        <v>4</v>
      </c>
      <c r="H45" s="90"/>
      <c r="I45" s="91"/>
      <c r="J45" s="91">
        <v>1.2</v>
      </c>
      <c r="K45" s="197">
        <f t="shared" si="0"/>
        <v>11.376000000000001</v>
      </c>
      <c r="L45" s="91">
        <f t="shared" si="1"/>
        <v>43.68</v>
      </c>
      <c r="M45" s="93">
        <f t="shared" ref="M45:M55" si="3">E45*10+F45*14+G45*12</f>
        <v>68</v>
      </c>
      <c r="N45" s="91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>
      <c r="A46" s="3"/>
      <c r="B46" s="3"/>
      <c r="C46" s="91" t="s">
        <v>37</v>
      </c>
      <c r="D46" s="95">
        <v>0.4</v>
      </c>
      <c r="E46" s="90">
        <f>COUNTIF($C$4:$C$31,"MOREL")+COUNTIF($F$4:$F$31,"MOREL")+COUNTIF($I$4:$I$31,"MOREL")</f>
        <v>5</v>
      </c>
      <c r="F46" s="90">
        <f>COUNTIF($D$4:$D$31,"MOREL")+COUNTIF($G$4:$G$31,"MOREL")</f>
        <v>0</v>
      </c>
      <c r="G46" s="90">
        <f>COUNTIF($E$4:$E$31,"MOREL")</f>
        <v>0</v>
      </c>
      <c r="H46" s="90"/>
      <c r="I46" s="91"/>
      <c r="J46" s="91">
        <v>2</v>
      </c>
      <c r="K46" s="197">
        <f t="shared" si="0"/>
        <v>10.800000000000002</v>
      </c>
      <c r="L46" s="91">
        <f t="shared" si="1"/>
        <v>37.44</v>
      </c>
      <c r="M46" s="93">
        <f t="shared" si="3"/>
        <v>50</v>
      </c>
      <c r="N46" s="91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>
      <c r="A47" s="3"/>
      <c r="B47" s="3"/>
      <c r="C47" s="91" t="s">
        <v>27</v>
      </c>
      <c r="D47" s="95">
        <v>0.8</v>
      </c>
      <c r="E47" s="90">
        <f>COUNTIF($C$4:$C$31,"RACHIDI")+COUNTIF($F$4:$F$31,"RACHIDI")+COUNTIF($I$4:$I$31,"RACHIDI")</f>
        <v>4</v>
      </c>
      <c r="F47" s="90">
        <f>COUNTIF($D$4:$D$31,"RACHIDI")+COUNTIF($G$4:$G$31,"RACHIDI")</f>
        <v>5</v>
      </c>
      <c r="G47" s="90">
        <f>COUNTIF($E$4:$E$31,"MOREL")</f>
        <v>0</v>
      </c>
      <c r="H47" s="90"/>
      <c r="I47" s="91"/>
      <c r="J47" s="91"/>
      <c r="K47" s="197">
        <f t="shared" si="0"/>
        <v>24.480000000000004</v>
      </c>
      <c r="L47" s="91">
        <f t="shared" si="1"/>
        <v>106.08</v>
      </c>
      <c r="M47" s="93">
        <f t="shared" si="3"/>
        <v>110</v>
      </c>
      <c r="N47" s="91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>
      <c r="A48" s="3"/>
      <c r="B48" s="3"/>
      <c r="C48" s="91" t="s">
        <v>34</v>
      </c>
      <c r="D48" s="95">
        <v>1</v>
      </c>
      <c r="E48" s="90">
        <f>COUNTIF($C$4:$C$31,"ZEBICHE")+COUNTIF($I$4:$I$31,"ZEBICHE")+COUNTIF($F$4:$F$31,"ZEBICHE")</f>
        <v>5</v>
      </c>
      <c r="F48" s="90">
        <f>COUNTIF($D$4:$D$31,"ZEBICHE")+COUNTIF($G$4:$G$31,"ZEBICHE")</f>
        <v>5</v>
      </c>
      <c r="G48" s="90">
        <f>COUNTIF($E$4:$E$31,"ZEBICHE")</f>
        <v>0</v>
      </c>
      <c r="H48" s="90"/>
      <c r="I48" s="91"/>
      <c r="J48" s="91"/>
      <c r="K48" s="197">
        <f t="shared" si="0"/>
        <v>30.6</v>
      </c>
      <c r="L48" s="91">
        <f t="shared" si="1"/>
        <v>132.6</v>
      </c>
      <c r="M48" s="93">
        <f t="shared" si="3"/>
        <v>120</v>
      </c>
      <c r="N48" s="91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>
      <c r="A49" s="3"/>
      <c r="B49" s="3"/>
      <c r="C49" s="91" t="s">
        <v>22</v>
      </c>
      <c r="D49" s="95">
        <v>1</v>
      </c>
      <c r="E49" s="90">
        <f>COUNTIF($C$4:$C$31,"HACHIMI")+COUNTIF($H$4:$H$31,"HACHIMI")+COUNTIF($I$4:$I$31,"HACHIMI")+COUNTIF($F$4:$F$31,"HACHIMI")+D58</f>
        <v>7</v>
      </c>
      <c r="F49" s="90">
        <f>COUNTIF($D$4:$D$31,"HACHIMI")+COUNTIF($G$4:$G$31,"HACHIMI")+COUNTIF($H$4:$H$31,"HACHIMI")</f>
        <v>6</v>
      </c>
      <c r="G49" s="90">
        <f>COUNTIF($E$4:$E$31,"HACHIMI")</f>
        <v>2</v>
      </c>
      <c r="H49" s="90"/>
      <c r="I49" s="91"/>
      <c r="J49" s="91"/>
      <c r="K49" s="197">
        <f t="shared" si="0"/>
        <v>30.6</v>
      </c>
      <c r="L49" s="91">
        <f t="shared" si="1"/>
        <v>132.6</v>
      </c>
      <c r="M49" s="93">
        <f t="shared" si="3"/>
        <v>178</v>
      </c>
      <c r="N49" s="91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>
      <c r="A50" s="3"/>
      <c r="B50" s="3"/>
      <c r="C50" s="91" t="s">
        <v>29</v>
      </c>
      <c r="D50" s="95">
        <v>1</v>
      </c>
      <c r="E50" s="90">
        <v>12</v>
      </c>
      <c r="F50" s="90">
        <v>4</v>
      </c>
      <c r="G50" s="90">
        <f>COUNTIF($E$4:$E$31,"BIENDOUX")</f>
        <v>0</v>
      </c>
      <c r="H50" s="90"/>
      <c r="I50" s="91"/>
      <c r="J50" s="91"/>
      <c r="K50" s="197">
        <f t="shared" si="0"/>
        <v>30.6</v>
      </c>
      <c r="L50" s="91">
        <f t="shared" si="1"/>
        <v>132.6</v>
      </c>
      <c r="M50" s="93">
        <f t="shared" si="3"/>
        <v>176</v>
      </c>
      <c r="N50" s="91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>
      <c r="A51" s="3"/>
      <c r="B51" s="3"/>
      <c r="C51" s="91" t="s">
        <v>48</v>
      </c>
      <c r="D51" s="95">
        <v>1</v>
      </c>
      <c r="E51" s="90">
        <v>11</v>
      </c>
      <c r="F51" s="90">
        <v>7</v>
      </c>
      <c r="G51" s="90">
        <f>COUNTIF($E$4:$E$31,"AFZAL")</f>
        <v>0</v>
      </c>
      <c r="H51" s="90"/>
      <c r="I51" s="91"/>
      <c r="J51" s="91"/>
      <c r="K51" s="197">
        <f t="shared" si="0"/>
        <v>30.6</v>
      </c>
      <c r="L51" s="91">
        <f t="shared" si="1"/>
        <v>132.6</v>
      </c>
      <c r="M51" s="93">
        <f t="shared" si="3"/>
        <v>208</v>
      </c>
      <c r="N51" s="91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>
      <c r="A52" s="3"/>
      <c r="B52" s="3"/>
      <c r="C52" s="91" t="s">
        <v>44</v>
      </c>
      <c r="D52" s="95">
        <v>1</v>
      </c>
      <c r="E52" s="90">
        <f>COUNTIF($C$4:$C$31,"IBRAHIM")+COUNTIF($H$4:$H$31,"IBRAHIM")+COUNTIF($I$4:$I$31,"IBRAHIM")+COUNTIF($F$4:$F$31,"IBRAHIM")+D61</f>
        <v>4</v>
      </c>
      <c r="F52" s="90">
        <f>COUNTIF($D$4:$D$31,"IBRAHIM")+COUNTIF($H$4:$H$31,"IBRAHIM")+COUNTIF($G$4:$G$31,"IBRAHIM")</f>
        <v>4</v>
      </c>
      <c r="G52" s="90">
        <f>COUNTIF($E$4:$E$31,"IBRAHIM")</f>
        <v>4</v>
      </c>
      <c r="H52" s="90"/>
      <c r="I52" s="91"/>
      <c r="J52" s="91"/>
      <c r="K52" s="197">
        <f t="shared" si="0"/>
        <v>30.6</v>
      </c>
      <c r="L52" s="91">
        <f t="shared" si="1"/>
        <v>132.6</v>
      </c>
      <c r="M52" s="93">
        <f t="shared" si="3"/>
        <v>144</v>
      </c>
      <c r="N52" s="91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>
      <c r="A53" s="3"/>
      <c r="B53" s="3"/>
      <c r="C53" s="91" t="s">
        <v>23</v>
      </c>
      <c r="D53" s="95">
        <v>1</v>
      </c>
      <c r="E53" s="90">
        <v>6.5</v>
      </c>
      <c r="F53" s="90">
        <f>COUNTIF($H$4:$H$31,"IMAD")+COUNTIF($D$4:$D$31,"IMAD")+COUNTIF($G$4:$G$31,"IMAD")</f>
        <v>5</v>
      </c>
      <c r="G53" s="90">
        <f>COUNTIF($E$4:$E$31,"IMAD")</f>
        <v>1</v>
      </c>
      <c r="H53" s="90"/>
      <c r="I53" s="91"/>
      <c r="J53" s="91"/>
      <c r="K53" s="197">
        <f t="shared" si="0"/>
        <v>30.6</v>
      </c>
      <c r="L53" s="91">
        <f t="shared" si="1"/>
        <v>132.6</v>
      </c>
      <c r="M53" s="93">
        <f t="shared" si="3"/>
        <v>147</v>
      </c>
      <c r="N53" s="91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>
      <c r="A54" s="3"/>
      <c r="B54" s="3"/>
      <c r="C54" s="91" t="s">
        <v>32</v>
      </c>
      <c r="D54" s="95">
        <v>1</v>
      </c>
      <c r="E54" s="90">
        <f>COUNTIF($C$4:$C$31,"RADO")+COUNTIF($H$4:$H$31,"RADO")+COUNTIF($F$4:$F$31,"RADO")+COUNTIF($I$4:$I$31,"RADO")+D63</f>
        <v>8</v>
      </c>
      <c r="F54" s="90">
        <f>COUNTIF($D$4:$D$31,"RADO")+COUNTIF($H$4:$H$31,"RADO")+COUNTIF($G$4:$G$31,"RADO")</f>
        <v>2</v>
      </c>
      <c r="G54" s="90">
        <f>COUNTIF($E$4:$E$31,"RADO")</f>
        <v>2</v>
      </c>
      <c r="H54" s="90"/>
      <c r="I54" s="91"/>
      <c r="J54" s="91">
        <v>2</v>
      </c>
      <c r="K54" s="197">
        <f t="shared" si="0"/>
        <v>27</v>
      </c>
      <c r="L54" s="91">
        <f t="shared" si="1"/>
        <v>117</v>
      </c>
      <c r="M54" s="93">
        <f t="shared" si="3"/>
        <v>132</v>
      </c>
      <c r="N54" s="91">
        <f t="shared" si="2"/>
        <v>15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>
      <c r="A55" s="3"/>
      <c r="B55" s="3"/>
      <c r="C55" s="91" t="s">
        <v>102</v>
      </c>
      <c r="D55" s="95">
        <v>1</v>
      </c>
      <c r="E55" s="90">
        <f>COUNTIF($C$4:$C$31,"TODY")+COUNTIF($H$4:$H$31,"TODY")+COUNTIF($F$4:$F$31,"TODY")+COUNTIF($I$4:$I$31,"TODY")+D64</f>
        <v>8</v>
      </c>
      <c r="F55" s="90">
        <f>COUNTIF($D$4:$D$31,"TODY")+COUNTIF($H$4:$H$31,"TODY")+COUNTIF($G$4:$G$31,"TODY")</f>
        <v>2</v>
      </c>
      <c r="G55" s="90">
        <f>COUNTIF($E$4:$E$31,"TODY")</f>
        <v>2</v>
      </c>
      <c r="H55" s="90"/>
      <c r="I55" s="91"/>
      <c r="J55" s="91"/>
      <c r="K55" s="197">
        <f t="shared" si="0"/>
        <v>30.6</v>
      </c>
      <c r="L55" s="91">
        <f t="shared" si="1"/>
        <v>132.6</v>
      </c>
      <c r="M55" s="93">
        <f t="shared" si="3"/>
        <v>132</v>
      </c>
      <c r="N55" s="91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>
      <c r="A56" s="3"/>
      <c r="B56" s="3"/>
      <c r="C56" s="198"/>
      <c r="D56" s="199"/>
      <c r="E56" s="72"/>
      <c r="F56" s="199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>
      <c r="A58" s="3"/>
      <c r="B58" s="3"/>
      <c r="C58" s="86" t="s">
        <v>22</v>
      </c>
      <c r="D58" s="102"/>
      <c r="E58" s="199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>
      <c r="A59" s="3"/>
      <c r="B59" s="3"/>
      <c r="C59" s="86" t="s">
        <v>29</v>
      </c>
      <c r="D59" s="102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>
      <c r="A60" s="3"/>
      <c r="B60" s="3"/>
      <c r="C60" s="86" t="s">
        <v>48</v>
      </c>
      <c r="D60" s="102">
        <v>7</v>
      </c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>
      <c r="A63" s="3"/>
      <c r="B63" s="3"/>
      <c r="C63" s="86" t="s">
        <v>32</v>
      </c>
      <c r="D63" s="102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>
      <c r="A64" s="3"/>
      <c r="B64" s="3"/>
      <c r="C64" s="86" t="s">
        <v>102</v>
      </c>
      <c r="D64" s="102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defaultColWidth="14" defaultRowHeight="12.75"/>
  <cols>
    <col min="1" max="1" width="10" style="1" customWidth="1"/>
    <col min="2" max="2" width="9" style="1" customWidth="1"/>
    <col min="3" max="7" width="14" style="1"/>
    <col min="8" max="8" width="11.375" style="1" customWidth="1"/>
    <col min="9" max="9" width="14.625" style="1" customWidth="1"/>
    <col min="10" max="10" width="14" style="1"/>
    <col min="11" max="11" width="14" style="2"/>
    <col min="12" max="13" width="14" style="1"/>
    <col min="14" max="14" width="20.125" style="1" customWidth="1"/>
    <col min="15" max="16384" width="14" style="1"/>
  </cols>
  <sheetData>
    <row r="1" spans="1:25" ht="15" customHeight="1">
      <c r="A1" s="367" t="s">
        <v>134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8" t="s">
        <v>1</v>
      </c>
      <c r="D2" s="368"/>
      <c r="E2" s="4" t="s">
        <v>2</v>
      </c>
      <c r="F2" s="369" t="s">
        <v>3</v>
      </c>
      <c r="G2" s="369"/>
      <c r="H2" s="5"/>
      <c r="I2" s="5"/>
      <c r="J2" s="5"/>
      <c r="K2" s="6"/>
      <c r="L2" s="370" t="s">
        <v>4</v>
      </c>
      <c r="M2" s="370"/>
      <c r="N2" s="370"/>
      <c r="O2" s="370"/>
      <c r="P2" s="370"/>
      <c r="Q2" s="370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200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1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2" t="s">
        <v>22</v>
      </c>
      <c r="J4" s="48" t="s">
        <v>20</v>
      </c>
      <c r="K4" s="28"/>
      <c r="L4" s="202"/>
      <c r="M4" s="203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2"/>
      <c r="M5" s="203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4" t="s">
        <v>136</v>
      </c>
      <c r="I6" s="51" t="s">
        <v>102</v>
      </c>
      <c r="J6" s="32"/>
      <c r="K6" s="36" t="s">
        <v>29</v>
      </c>
      <c r="L6" s="202"/>
      <c r="M6" s="203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5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1" t="s">
        <v>23</v>
      </c>
      <c r="G8" s="191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7" t="s">
        <v>119</v>
      </c>
      <c r="J9" s="42"/>
      <c r="K9" s="43"/>
      <c r="L9" s="136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6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6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1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7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4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10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10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45823</v>
      </c>
      <c r="C18" s="208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>
      <c r="A20" s="21" t="s">
        <v>30</v>
      </c>
      <c r="B20" s="22">
        <v>45825</v>
      </c>
      <c r="C20" s="48" t="s">
        <v>38</v>
      </c>
      <c r="D20" s="48" t="s">
        <v>38</v>
      </c>
      <c r="E20" s="208"/>
      <c r="F20" s="132" t="s">
        <v>22</v>
      </c>
      <c r="G20" s="51" t="s">
        <v>48</v>
      </c>
      <c r="H20" s="207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9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2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2" t="s">
        <v>22</v>
      </c>
      <c r="G24" s="132" t="s">
        <v>32</v>
      </c>
      <c r="H24" s="122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3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45831</v>
      </c>
      <c r="C26" s="51" t="s">
        <v>23</v>
      </c>
      <c r="D26" s="23" t="s">
        <v>28</v>
      </c>
      <c r="E26" s="208"/>
      <c r="F26" s="132" t="s">
        <v>22</v>
      </c>
      <c r="G26" s="132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4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45835</v>
      </c>
      <c r="C30" s="108" t="s">
        <v>27</v>
      </c>
      <c r="D30" s="108" t="s">
        <v>27</v>
      </c>
      <c r="E30" s="54" t="s">
        <v>47</v>
      </c>
      <c r="F30" s="132" t="s">
        <v>22</v>
      </c>
      <c r="G30" s="132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45836</v>
      </c>
      <c r="C31" s="39" t="s">
        <v>42</v>
      </c>
      <c r="D31" s="39" t="s">
        <v>42</v>
      </c>
      <c r="E31" s="108" t="s">
        <v>31</v>
      </c>
      <c r="F31" s="51" t="s">
        <v>23</v>
      </c>
      <c r="G31" s="51" t="s">
        <v>23</v>
      </c>
      <c r="H31" s="46" t="s">
        <v>155</v>
      </c>
      <c r="I31" s="110" t="s">
        <v>21</v>
      </c>
      <c r="J31" s="43"/>
      <c r="K31" s="42"/>
      <c r="L31" s="70" t="s">
        <v>156</v>
      </c>
      <c r="M31" s="210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45837</v>
      </c>
      <c r="C32" s="211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2" t="s">
        <v>22</v>
      </c>
      <c r="J32" s="48" t="s">
        <v>20</v>
      </c>
      <c r="K32" s="32"/>
      <c r="L32" s="212" t="s">
        <v>156</v>
      </c>
      <c r="M32" s="203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45838</v>
      </c>
      <c r="C33" s="33" t="s">
        <v>42</v>
      </c>
      <c r="D33" s="33" t="s">
        <v>42</v>
      </c>
      <c r="E33" s="132" t="s">
        <v>22</v>
      </c>
      <c r="F33" s="33" t="s">
        <v>38</v>
      </c>
      <c r="G33" s="23" t="s">
        <v>38</v>
      </c>
      <c r="H33" s="125"/>
      <c r="I33" s="51" t="s">
        <v>44</v>
      </c>
      <c r="J33" s="126"/>
      <c r="K33" s="33"/>
      <c r="L33" s="212" t="s">
        <v>156</v>
      </c>
      <c r="M33" s="203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2" t="s">
        <v>22</v>
      </c>
      <c r="H34" s="204" t="s">
        <v>136</v>
      </c>
      <c r="I34" s="51" t="s">
        <v>44</v>
      </c>
      <c r="J34" s="48"/>
      <c r="K34" s="48" t="s">
        <v>20</v>
      </c>
      <c r="L34" s="212" t="s">
        <v>156</v>
      </c>
      <c r="M34" s="203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45840</v>
      </c>
      <c r="C35" s="32" t="s">
        <v>38</v>
      </c>
      <c r="D35" s="213" t="s">
        <v>38</v>
      </c>
      <c r="E35" s="32" t="s">
        <v>19</v>
      </c>
      <c r="F35" s="51" t="s">
        <v>32</v>
      </c>
      <c r="G35" s="51" t="s">
        <v>32</v>
      </c>
      <c r="H35" s="125"/>
      <c r="I35" s="51" t="s">
        <v>44</v>
      </c>
      <c r="J35" s="48"/>
      <c r="K35" s="51" t="s">
        <v>48</v>
      </c>
      <c r="L35" s="212" t="s">
        <v>156</v>
      </c>
      <c r="M35" s="203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2" t="s">
        <v>22</v>
      </c>
      <c r="G36" s="132" t="s">
        <v>22</v>
      </c>
      <c r="H36" s="125"/>
      <c r="I36" s="213" t="s">
        <v>20</v>
      </c>
      <c r="J36" s="48"/>
      <c r="K36" s="128"/>
      <c r="L36" s="212" t="s">
        <v>156</v>
      </c>
      <c r="M36" s="203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7" t="s">
        <v>119</v>
      </c>
      <c r="J37" s="42"/>
      <c r="K37" s="130"/>
      <c r="L37" s="214" t="s">
        <v>156</v>
      </c>
      <c r="M37" s="215" t="s">
        <v>129</v>
      </c>
      <c r="N37" s="156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9" t="s">
        <v>23</v>
      </c>
      <c r="I38" s="177" t="s">
        <v>119</v>
      </c>
      <c r="J38" s="42"/>
      <c r="K38" s="43"/>
      <c r="L38" s="214" t="s">
        <v>156</v>
      </c>
      <c r="M38" s="215" t="s">
        <v>129</v>
      </c>
      <c r="N38" s="156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M39" s="216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70" t="s">
        <v>53</v>
      </c>
      <c r="B40" s="370"/>
      <c r="C40" s="370"/>
      <c r="D40" s="370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6" t="s">
        <v>57</v>
      </c>
      <c r="M42" s="77"/>
      <c r="N42" s="366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6" t="s">
        <v>63</v>
      </c>
      <c r="J43" s="366" t="s">
        <v>64</v>
      </c>
      <c r="K43" s="366" t="s">
        <v>65</v>
      </c>
      <c r="L43" s="366" t="s">
        <v>66</v>
      </c>
      <c r="M43" s="77" t="s">
        <v>67</v>
      </c>
      <c r="N43" s="366" t="s">
        <v>68</v>
      </c>
      <c r="O43" s="78"/>
      <c r="P43" s="78"/>
    </row>
    <row r="44" spans="1:23" ht="12.75" customHeight="1">
      <c r="A44" s="73"/>
      <c r="B44" s="73"/>
      <c r="C44" s="88" t="s">
        <v>38</v>
      </c>
      <c r="D44" s="89">
        <v>1</v>
      </c>
      <c r="E44" s="90">
        <f>COUNTIF($C$4:$C$38,"BOULAT")+COUNTIF($I$4:$I$38,"BOULAT")+COUNTIF($F$4:$F$38,"BOULAT")</f>
        <v>7</v>
      </c>
      <c r="F44" s="90">
        <f>COUNTIF($D$4:$D$38,"BOULAT")+COUNTIF($G$4:$G$38,"BOULAT")</f>
        <v>6</v>
      </c>
      <c r="G44" s="90">
        <f>COUNTIF($E$4:$E$38,"BOULAT")</f>
        <v>0</v>
      </c>
      <c r="H44" s="88"/>
      <c r="I44" s="90"/>
      <c r="J44" s="91"/>
      <c r="K44" s="92">
        <f t="shared" ref="K44:K63" si="0">D44*((9*$D$42)-($F$42*9/5))-(D44*(J44*1.8))</f>
        <v>45</v>
      </c>
      <c r="L44" s="91">
        <f t="shared" ref="L44:L62" si="1">D44*((39*$D$42)-($F$42*39/5))-(J44*7.8)</f>
        <v>195</v>
      </c>
      <c r="M44" s="93">
        <f>E44*10+F44*14+G44*12</f>
        <v>154</v>
      </c>
      <c r="N44" s="91">
        <f t="shared" ref="N44:N63" si="2">M44-L44</f>
        <v>-41</v>
      </c>
      <c r="O44" s="3"/>
      <c r="P44" s="3"/>
    </row>
    <row r="45" spans="1:23" ht="12" customHeight="1">
      <c r="A45" s="73"/>
      <c r="B45" s="73"/>
      <c r="C45" s="88" t="s">
        <v>36</v>
      </c>
      <c r="D45" s="89">
        <v>1</v>
      </c>
      <c r="E45" s="90">
        <f>COUNTIF($C$4:$C$38,"BRUGIROUX")+COUNTIF($I$4:$I$38,"BRUGIROUX")+COUNTIF($F$4:$F$38,"BRUGIROUX")</f>
        <v>5</v>
      </c>
      <c r="F45" s="90">
        <f>COUNTIF($D$4:$D$38,"BRUGIROUX")+COUNTIF($G$4:$G$38,"BRUGIROUX")</f>
        <v>11</v>
      </c>
      <c r="G45" s="90">
        <f>COUNTIF($E$4:$E$38,"BRUGIROUX")</f>
        <v>2</v>
      </c>
      <c r="H45" s="88">
        <v>2</v>
      </c>
      <c r="I45" s="90"/>
      <c r="J45" s="91"/>
      <c r="K45" s="92">
        <f t="shared" si="0"/>
        <v>45</v>
      </c>
      <c r="L45" s="91">
        <f t="shared" si="1"/>
        <v>195</v>
      </c>
      <c r="M45" s="93">
        <f>E45*10+F45*14+G45*12+H45*10</f>
        <v>248</v>
      </c>
      <c r="N45" s="91">
        <f t="shared" si="2"/>
        <v>53</v>
      </c>
      <c r="O45" s="3"/>
      <c r="P45" s="3"/>
    </row>
    <row r="46" spans="1:23" ht="12" customHeight="1">
      <c r="A46" s="73"/>
      <c r="B46" s="73"/>
      <c r="C46" s="88" t="s">
        <v>21</v>
      </c>
      <c r="D46" s="94">
        <v>0.5</v>
      </c>
      <c r="E46" s="90">
        <f>COUNTIF($C$4:$C$38,"CAUVY")+COUNTIF($F$4:$F$38,"CAUVY")+COUNTIF($I$4:$I$38,"CAUVY")</f>
        <v>6</v>
      </c>
      <c r="F46" s="90">
        <f>COUNTIF($D$4:$D$38,"CAUVY")+COUNTIF($G$4:$G$38,"CAUVY")</f>
        <v>0</v>
      </c>
      <c r="G46" s="90">
        <f>COUNTIF($E$4:$E$38,"CAUVY")</f>
        <v>0</v>
      </c>
      <c r="H46" s="90"/>
      <c r="I46" s="90">
        <f>COUNTIF($K$4:$K$38,"CAUVY")</f>
        <v>0</v>
      </c>
      <c r="J46" s="91">
        <v>4</v>
      </c>
      <c r="K46" s="92">
        <f t="shared" si="0"/>
        <v>18.899999999999999</v>
      </c>
      <c r="L46" s="91">
        <f t="shared" si="1"/>
        <v>66.3</v>
      </c>
      <c r="M46" s="93">
        <f>E46*10+F46*14+G46*12+I46*10</f>
        <v>60</v>
      </c>
      <c r="N46" s="91">
        <f t="shared" si="2"/>
        <v>-6.2999999999999972</v>
      </c>
      <c r="O46" s="3"/>
      <c r="P46" s="3"/>
    </row>
    <row r="47" spans="1:23" ht="12" customHeight="1">
      <c r="A47" s="73"/>
      <c r="B47" s="73"/>
      <c r="C47" s="88" t="s">
        <v>31</v>
      </c>
      <c r="D47" s="94">
        <v>0.8</v>
      </c>
      <c r="E47" s="90">
        <f>COUNTIF($C$4:$C$38,"FONTAINE")+COUNTIF($I$4:$I$38,"FONTAINE")+COUNTIF($F$4:$F$38,"FONTAINE")</f>
        <v>6</v>
      </c>
      <c r="F47" s="90">
        <f>COUNTIF($D$4:$D$38,"FONTAINE")+COUNTIF($G$4:$G$38,"FONTAINE")</f>
        <v>6</v>
      </c>
      <c r="G47" s="90">
        <f>COUNTIF($E$4:$E$38,"FONTAINE")</f>
        <v>1</v>
      </c>
      <c r="H47" s="88"/>
      <c r="I47" s="90"/>
      <c r="J47" s="91"/>
      <c r="K47" s="92">
        <f t="shared" si="0"/>
        <v>36</v>
      </c>
      <c r="L47" s="91">
        <f t="shared" si="1"/>
        <v>156</v>
      </c>
      <c r="M47" s="93">
        <f>E47*10+F47*14+G47*12</f>
        <v>156</v>
      </c>
      <c r="N47" s="91">
        <f t="shared" si="2"/>
        <v>0</v>
      </c>
      <c r="O47" s="3"/>
      <c r="P47" s="3"/>
    </row>
    <row r="48" spans="1:23" ht="12" customHeight="1">
      <c r="A48" s="3"/>
      <c r="B48" s="3"/>
      <c r="C48" s="91" t="s">
        <v>28</v>
      </c>
      <c r="D48" s="95">
        <v>0.6</v>
      </c>
      <c r="E48" s="90">
        <f>COUNTIF($C$4:$C$38,"KANTCHE")+COUNTIF($I$4:$I$38,"KANTCHE")+COUNTIF($F$4:$F$38,"KANTCHE")</f>
        <v>6</v>
      </c>
      <c r="F48" s="90">
        <f>COUNTIF($D$4:$D$38,"KANTCHE")+COUNTIF($G$4:$G$38,"KANTCHE")</f>
        <v>2</v>
      </c>
      <c r="G48" s="90">
        <f>COUNTIF($E$4:$E$38,"KANTCHE")</f>
        <v>3</v>
      </c>
      <c r="H48" s="91"/>
      <c r="I48" s="91"/>
      <c r="J48" s="91"/>
      <c r="K48" s="92">
        <f t="shared" si="0"/>
        <v>27</v>
      </c>
      <c r="L48" s="91">
        <f t="shared" si="1"/>
        <v>117</v>
      </c>
      <c r="M48" s="93">
        <f>E48*10+F48*14+G48*12</f>
        <v>124</v>
      </c>
      <c r="N48" s="91">
        <f t="shared" si="2"/>
        <v>7</v>
      </c>
      <c r="O48" s="3"/>
      <c r="P48" s="3"/>
      <c r="Q48" s="3"/>
    </row>
    <row r="49" spans="1:17" ht="12" customHeight="1">
      <c r="A49" s="3"/>
      <c r="B49" s="3"/>
      <c r="C49" s="91" t="s">
        <v>42</v>
      </c>
      <c r="D49" s="95">
        <v>1</v>
      </c>
      <c r="E49" s="90">
        <f>COUNTIF($C$4:$C$38,"ORIOLI")+COUNTIF($I$4:$I$38,"ORIOLI")+COUNTIF($F$4:$F$38,"ORIOLI")</f>
        <v>7</v>
      </c>
      <c r="F49" s="90">
        <f>COUNTIF($D$4:$D$38,"ORIOLI")+COUNTIF($G$4:$G$38,"ORIOLI")</f>
        <v>8</v>
      </c>
      <c r="G49" s="90">
        <f>COUNTIF($E$4:$E$38,"ORIOLI")</f>
        <v>0</v>
      </c>
      <c r="H49" s="91"/>
      <c r="I49" s="91"/>
      <c r="J49" s="91"/>
      <c r="K49" s="92">
        <f t="shared" si="0"/>
        <v>45</v>
      </c>
      <c r="L49" s="91">
        <f t="shared" si="1"/>
        <v>195</v>
      </c>
      <c r="M49" s="93">
        <f>E49*10+F49*14+G49*12</f>
        <v>182</v>
      </c>
      <c r="N49" s="91">
        <f t="shared" si="2"/>
        <v>-13</v>
      </c>
      <c r="O49" s="3"/>
      <c r="P49" s="3"/>
      <c r="Q49" s="3"/>
    </row>
    <row r="50" spans="1:17" ht="12" customHeight="1">
      <c r="A50" s="3"/>
      <c r="B50" s="3"/>
      <c r="C50" s="91" t="s">
        <v>47</v>
      </c>
      <c r="D50" s="95">
        <v>0.5</v>
      </c>
      <c r="E50" s="90">
        <f>COUNTIF($C$4:$C$38,"TKATCHOUK")+COUNTIF($I$4:$I$38,"TKATCHOUK")+COUNTIF($F$4:$F$38,"TKATCHOUK")</f>
        <v>0</v>
      </c>
      <c r="F50" s="90">
        <f>COUNTIF($D$4:$D$38,"TKATCHOUK")+COUNTIF($G$4:$G$38,"TKATCHOUK")</f>
        <v>0</v>
      </c>
      <c r="G50" s="90">
        <f>COUNTIF($E$4:$E$38,"TKATCHOUK")</f>
        <v>8</v>
      </c>
      <c r="H50" s="91"/>
      <c r="I50" s="91"/>
      <c r="J50" s="91"/>
      <c r="K50" s="92">
        <f t="shared" si="0"/>
        <v>22.5</v>
      </c>
      <c r="L50" s="91">
        <f t="shared" si="1"/>
        <v>97.5</v>
      </c>
      <c r="M50" s="93">
        <f>E50*10+F50*14+G50*12</f>
        <v>96</v>
      </c>
      <c r="N50" s="91">
        <f t="shared" si="2"/>
        <v>-1.5</v>
      </c>
      <c r="O50" s="3"/>
      <c r="P50" s="3"/>
      <c r="Q50" s="3"/>
    </row>
    <row r="51" spans="1:17" ht="12.75" customHeight="1">
      <c r="A51" s="3"/>
      <c r="B51" s="3"/>
      <c r="C51" s="91" t="s">
        <v>20</v>
      </c>
      <c r="D51" s="95">
        <v>1</v>
      </c>
      <c r="E51" s="90">
        <v>9</v>
      </c>
      <c r="F51" s="90">
        <f>COUNTIF($D$4:$D$38,"TORREGROSSA")+COUNTIF($G$4:$G$38,"TORREGROSSA")</f>
        <v>4</v>
      </c>
      <c r="G51" s="90">
        <f>COUNTIF($E$4:$E$38,"TORREGROSSA")</f>
        <v>1</v>
      </c>
      <c r="H51" s="90">
        <f>COUNTIF($J$4:$J$38,"TORREGROSSA")</f>
        <v>3</v>
      </c>
      <c r="I51" s="91"/>
      <c r="J51" s="91">
        <v>4</v>
      </c>
      <c r="K51" s="92">
        <f t="shared" si="0"/>
        <v>37.799999999999997</v>
      </c>
      <c r="L51" s="91">
        <f t="shared" si="1"/>
        <v>163.80000000000001</v>
      </c>
      <c r="M51" s="93">
        <f>E51*10+F51*14+G51*12+H51*10</f>
        <v>188</v>
      </c>
      <c r="N51" s="91">
        <f t="shared" si="2"/>
        <v>24.199999999999989</v>
      </c>
      <c r="O51" s="3"/>
      <c r="P51" s="3"/>
      <c r="Q51" s="3"/>
    </row>
    <row r="52" spans="1:17" ht="12.75" customHeight="1">
      <c r="A52" s="3"/>
      <c r="B52" s="3"/>
      <c r="C52" s="91" t="s">
        <v>19</v>
      </c>
      <c r="D52" s="95">
        <v>0.4</v>
      </c>
      <c r="E52" s="90">
        <f>COUNTIF($C$4:$C$38,"BALLOT")+COUNTIF($I$4:$I$38,"BALLOT")+COUNTIF($F$4:$F$38,"BALLOT")</f>
        <v>0</v>
      </c>
      <c r="F52" s="90">
        <f>COUNTIF($D$4:$D$38,"BALLOT")+COUNTIF($G$4:$G$38,"BALLOT")</f>
        <v>0</v>
      </c>
      <c r="G52" s="90">
        <f>COUNTIF($E$4:$E$38,"BALLOT")</f>
        <v>6</v>
      </c>
      <c r="H52" s="90"/>
      <c r="I52" s="91"/>
      <c r="J52" s="91"/>
      <c r="K52" s="92">
        <f t="shared" si="0"/>
        <v>18</v>
      </c>
      <c r="L52" s="91">
        <f t="shared" si="1"/>
        <v>78</v>
      </c>
      <c r="M52" s="93">
        <f t="shared" ref="M52:M63" si="3">E52*10+F52*14+G52*12</f>
        <v>72</v>
      </c>
      <c r="N52" s="91">
        <f t="shared" si="2"/>
        <v>-6</v>
      </c>
      <c r="O52" s="3"/>
      <c r="P52" s="3"/>
      <c r="Q52" s="3"/>
    </row>
    <row r="53" spans="1:17" ht="12" customHeight="1">
      <c r="A53" s="3"/>
      <c r="B53" s="3"/>
      <c r="C53" s="91" t="s">
        <v>37</v>
      </c>
      <c r="D53" s="95">
        <v>0.4</v>
      </c>
      <c r="E53" s="90">
        <f>COUNTIF($C$4:$C$38,"MOREL")+COUNTIF($I$4:$I$38,"MOREL")+COUNTIF($F$4:$F$38,"MOREL")</f>
        <v>9</v>
      </c>
      <c r="F53" s="90">
        <f>COUNTIF($D$4:$D$38,"MOREL")+COUNTIF($G$4:$G$38,"MOREL")</f>
        <v>0</v>
      </c>
      <c r="G53" s="90">
        <f>COUNTIF($E$4:$E$38,"MOREL")</f>
        <v>0</v>
      </c>
      <c r="H53" s="90"/>
      <c r="I53" s="91"/>
      <c r="J53" s="91"/>
      <c r="K53" s="92">
        <f t="shared" si="0"/>
        <v>18</v>
      </c>
      <c r="L53" s="91">
        <f t="shared" si="1"/>
        <v>78</v>
      </c>
      <c r="M53" s="93">
        <f t="shared" si="3"/>
        <v>90</v>
      </c>
      <c r="N53" s="91">
        <f t="shared" si="2"/>
        <v>12</v>
      </c>
      <c r="O53" s="3"/>
      <c r="P53" s="3"/>
      <c r="Q53" s="3"/>
    </row>
    <row r="54" spans="1:17" ht="12" customHeight="1">
      <c r="A54" s="3"/>
      <c r="B54" s="3"/>
      <c r="C54" s="91" t="s">
        <v>27</v>
      </c>
      <c r="D54" s="95">
        <v>0.8</v>
      </c>
      <c r="E54" s="90">
        <f>COUNTIF($C$4:$C$38,"RACHIDI")+COUNTIF($I$4:$I$38,"RACHIDI")+COUNTIF($F$4:$F$38,"RACHIDI")</f>
        <v>7</v>
      </c>
      <c r="F54" s="90">
        <f>COUNTIF($D$4:$D$38,"RACHIDI")+COUNTIF($G$4:$G$38,"RACHIDI")</f>
        <v>7</v>
      </c>
      <c r="G54" s="90">
        <f>COUNTIF($E$4:$E$38,"RACHIDI")</f>
        <v>0</v>
      </c>
      <c r="H54" s="90"/>
      <c r="I54" s="91"/>
      <c r="J54" s="91"/>
      <c r="K54" s="92">
        <f t="shared" si="0"/>
        <v>36</v>
      </c>
      <c r="L54" s="91">
        <f t="shared" si="1"/>
        <v>156</v>
      </c>
      <c r="M54" s="93">
        <f t="shared" si="3"/>
        <v>168</v>
      </c>
      <c r="N54" s="91">
        <f t="shared" si="2"/>
        <v>12</v>
      </c>
      <c r="O54" s="3"/>
      <c r="P54" s="3"/>
      <c r="Q54" s="3"/>
    </row>
    <row r="55" spans="1:17" ht="12" customHeight="1">
      <c r="A55" s="3"/>
      <c r="B55" s="3"/>
      <c r="C55" s="91" t="s">
        <v>34</v>
      </c>
      <c r="D55" s="95">
        <v>1</v>
      </c>
      <c r="E55" s="90">
        <f>COUNTIF($C$4:$C$38,"ZEBICHE")+COUNTIF($I$4:$I$38,"ZEBICHE")+COUNTIF($F$4:$F$38,"ZEBICHE")</f>
        <v>6</v>
      </c>
      <c r="F55" s="90">
        <f>COUNTIF($D$4:$D$38,"ZEBICHE")+COUNTIF($G$4:$G$38,"ZEBICHE")</f>
        <v>5</v>
      </c>
      <c r="G55" s="90">
        <f>COUNTIF($E$4:$E$38,"ZEBICHE")</f>
        <v>0</v>
      </c>
      <c r="H55" s="90"/>
      <c r="I55" s="91"/>
      <c r="J55" s="91">
        <v>10</v>
      </c>
      <c r="K55" s="92">
        <f t="shared" si="0"/>
        <v>27</v>
      </c>
      <c r="L55" s="91">
        <f t="shared" si="1"/>
        <v>117</v>
      </c>
      <c r="M55" s="93">
        <f t="shared" si="3"/>
        <v>130</v>
      </c>
      <c r="N55" s="91">
        <f t="shared" si="2"/>
        <v>13</v>
      </c>
      <c r="O55" s="3"/>
      <c r="P55" s="3"/>
    </row>
    <row r="56" spans="1:17" ht="12" customHeight="1">
      <c r="A56" s="3"/>
      <c r="B56" s="3"/>
      <c r="C56" s="91" t="s">
        <v>22</v>
      </c>
      <c r="D56" s="95">
        <v>1</v>
      </c>
      <c r="E56" s="90">
        <f>COUNTIF($C$4:$C$38,"HACHIMI")+COUNTIF($H$4:$H$38,"HACHIMI")+COUNTIF($I$4:$I$38,"HACHIMI")+COUNTIF($F$4:$F$38,"HACHIMI")+D65</f>
        <v>10</v>
      </c>
      <c r="F56" s="90">
        <v>6</v>
      </c>
      <c r="G56" s="90">
        <f>COUNTIF($E$4:$E$38,"HACHIMI")</f>
        <v>1</v>
      </c>
      <c r="H56" s="90"/>
      <c r="I56" s="91"/>
      <c r="J56" s="91">
        <v>5</v>
      </c>
      <c r="K56" s="92">
        <f t="shared" si="0"/>
        <v>36</v>
      </c>
      <c r="L56" s="91">
        <f t="shared" si="1"/>
        <v>156</v>
      </c>
      <c r="M56" s="93">
        <f t="shared" si="3"/>
        <v>196</v>
      </c>
      <c r="N56" s="91">
        <f t="shared" si="2"/>
        <v>40</v>
      </c>
      <c r="O56" s="3"/>
      <c r="P56" s="3"/>
    </row>
    <row r="57" spans="1:17" ht="12" customHeight="1">
      <c r="A57" s="3"/>
      <c r="B57" s="72"/>
      <c r="C57" s="91" t="s">
        <v>29</v>
      </c>
      <c r="D57" s="95">
        <v>1</v>
      </c>
      <c r="E57" s="90">
        <v>13</v>
      </c>
      <c r="F57" s="90">
        <v>6</v>
      </c>
      <c r="G57" s="90">
        <f>COUNTIF($E$4:$E$38,"BIENDOUX")</f>
        <v>1</v>
      </c>
      <c r="H57" s="90"/>
      <c r="I57" s="91"/>
      <c r="J57" s="91"/>
      <c r="K57" s="92">
        <f t="shared" si="0"/>
        <v>45</v>
      </c>
      <c r="L57" s="91">
        <f t="shared" si="1"/>
        <v>195</v>
      </c>
      <c r="M57" s="93">
        <f t="shared" si="3"/>
        <v>226</v>
      </c>
      <c r="N57" s="91">
        <f t="shared" si="2"/>
        <v>31</v>
      </c>
    </row>
    <row r="58" spans="1:17" ht="12" customHeight="1">
      <c r="A58" s="3"/>
      <c r="B58" s="96"/>
      <c r="C58" s="217" t="s">
        <v>48</v>
      </c>
      <c r="D58" s="218">
        <v>1</v>
      </c>
      <c r="E58" s="219">
        <v>10</v>
      </c>
      <c r="F58" s="219">
        <v>9</v>
      </c>
      <c r="G58" s="219">
        <v>1</v>
      </c>
      <c r="H58" s="219"/>
      <c r="I58" s="217"/>
      <c r="J58" s="217"/>
      <c r="K58" s="197">
        <f t="shared" si="0"/>
        <v>45</v>
      </c>
      <c r="L58" s="217">
        <f t="shared" si="1"/>
        <v>195</v>
      </c>
      <c r="M58" s="220">
        <f t="shared" si="3"/>
        <v>238</v>
      </c>
      <c r="N58" s="217">
        <f t="shared" si="2"/>
        <v>43</v>
      </c>
      <c r="O58" s="57"/>
      <c r="P58" s="57"/>
      <c r="Q58" s="57"/>
    </row>
    <row r="59" spans="1:17" ht="12" customHeight="1">
      <c r="A59" s="3"/>
      <c r="B59" s="96"/>
      <c r="C59" s="91" t="s">
        <v>44</v>
      </c>
      <c r="D59" s="95">
        <v>1</v>
      </c>
      <c r="E59" s="90">
        <f>COUNTIF($C$4:$C$38,"IBRAHIM")+COUNTIF($H$4:$H$38,"IBRAHIM")+COUNTIF($I$4:$I$38,"IBRAHIM")+COUNTIF($F$4:$F$38,"IBRAHIM")+D68</f>
        <v>5</v>
      </c>
      <c r="F59" s="90">
        <f>COUNTIF($D$4:$D$38,"IBRAHIM")+COUNTIF($H$4:$H$38,"IBRAHIM")+COUNTIF($G$4:$G$38,"IBRAHIM")</f>
        <v>2</v>
      </c>
      <c r="G59" s="90">
        <f>COUNTIF($E$4:$E$38,"IBRAHIM")</f>
        <v>2</v>
      </c>
      <c r="H59" s="90"/>
      <c r="I59" s="91"/>
      <c r="J59" s="91">
        <v>10</v>
      </c>
      <c r="K59" s="92">
        <f t="shared" si="0"/>
        <v>27</v>
      </c>
      <c r="L59" s="91">
        <f t="shared" si="1"/>
        <v>117</v>
      </c>
      <c r="M59" s="93">
        <f t="shared" si="3"/>
        <v>102</v>
      </c>
      <c r="N59" s="91">
        <f t="shared" si="2"/>
        <v>-15</v>
      </c>
      <c r="O59" s="57"/>
      <c r="P59" s="57"/>
      <c r="Q59" s="57"/>
    </row>
    <row r="60" spans="1:17" ht="12" customHeight="1">
      <c r="A60" s="3"/>
      <c r="B60" s="96"/>
      <c r="C60" s="91" t="s">
        <v>23</v>
      </c>
      <c r="D60" s="95">
        <v>1</v>
      </c>
      <c r="E60" s="90">
        <v>12</v>
      </c>
      <c r="F60" s="90">
        <v>7</v>
      </c>
      <c r="G60" s="90">
        <f>COUNTIF($E$4:$E$38,"IMAD")</f>
        <v>1</v>
      </c>
      <c r="H60" s="90"/>
      <c r="I60" s="91"/>
      <c r="J60" s="91"/>
      <c r="K60" s="92">
        <f t="shared" si="0"/>
        <v>45</v>
      </c>
      <c r="L60" s="91">
        <f t="shared" si="1"/>
        <v>195</v>
      </c>
      <c r="M60" s="93">
        <f t="shared" si="3"/>
        <v>230</v>
      </c>
      <c r="N60" s="91">
        <f t="shared" si="2"/>
        <v>35</v>
      </c>
      <c r="O60" s="57"/>
      <c r="P60" s="57"/>
      <c r="Q60" s="57"/>
    </row>
    <row r="61" spans="1:17" ht="12" customHeight="1">
      <c r="A61" s="3"/>
      <c r="B61" s="96"/>
      <c r="C61" s="91" t="s">
        <v>32</v>
      </c>
      <c r="D61" s="95">
        <v>1</v>
      </c>
      <c r="E61" s="90">
        <v>13</v>
      </c>
      <c r="F61" s="90">
        <v>4</v>
      </c>
      <c r="G61" s="90">
        <f>COUNTIF($E$4:$E$38,"RADO")</f>
        <v>0</v>
      </c>
      <c r="H61" s="90"/>
      <c r="I61" s="91"/>
      <c r="J61" s="91">
        <v>3</v>
      </c>
      <c r="K61" s="92">
        <f t="shared" si="0"/>
        <v>39.6</v>
      </c>
      <c r="L61" s="91">
        <f t="shared" si="1"/>
        <v>171.6</v>
      </c>
      <c r="M61" s="93">
        <f t="shared" si="3"/>
        <v>186</v>
      </c>
      <c r="N61" s="91">
        <f t="shared" si="2"/>
        <v>14.400000000000006</v>
      </c>
      <c r="O61" s="57"/>
      <c r="P61" s="57"/>
      <c r="Q61" s="57"/>
    </row>
    <row r="62" spans="1:17" ht="12" customHeight="1">
      <c r="A62" s="3"/>
      <c r="B62" s="96"/>
      <c r="C62" s="91" t="s">
        <v>102</v>
      </c>
      <c r="D62" s="95">
        <v>1</v>
      </c>
      <c r="E62" s="90">
        <v>12</v>
      </c>
      <c r="F62" s="90">
        <v>4</v>
      </c>
      <c r="G62" s="90">
        <f>COUNTIF($E$4:$E$38,"TODY")</f>
        <v>5</v>
      </c>
      <c r="H62" s="90"/>
      <c r="I62" s="91"/>
      <c r="J62" s="91"/>
      <c r="K62" s="92">
        <f t="shared" si="0"/>
        <v>45</v>
      </c>
      <c r="L62" s="91">
        <f t="shared" si="1"/>
        <v>195</v>
      </c>
      <c r="M62" s="93">
        <f t="shared" si="3"/>
        <v>236</v>
      </c>
      <c r="N62" s="91">
        <f t="shared" si="2"/>
        <v>41</v>
      </c>
      <c r="O62" s="57"/>
      <c r="P62" s="57"/>
      <c r="Q62" s="57"/>
    </row>
    <row r="63" spans="1:17" ht="12" customHeight="1">
      <c r="A63" s="3"/>
      <c r="B63" s="96"/>
      <c r="C63" s="162" t="s">
        <v>158</v>
      </c>
      <c r="D63" s="221">
        <v>1</v>
      </c>
      <c r="E63" s="365">
        <f>COUNTIF($C$4:$C$38,"AZZEDINE")+COUNTIF($H$4:$H$38,"AZZEDINE")+COUNTIF($I$4:$I$38,"AZZEDINE")+COUNTIF($F$4:$F$38,"AZZEDINE")+D72</f>
        <v>3</v>
      </c>
      <c r="F63" s="365">
        <f>COUNTIF($D$4:$D$38,"AZZEDINE")+COUNTIF($H$4:$H$38,"AZZEDINE")+COUNTIF($G$4:$G$38,"AZZEDINE")</f>
        <v>0</v>
      </c>
      <c r="G63" s="365">
        <f>COUNTIF($E$4:$E$38,"AZZEDINE")</f>
        <v>0</v>
      </c>
      <c r="H63" s="365"/>
      <c r="I63" s="162"/>
      <c r="J63" s="162"/>
      <c r="K63" s="180">
        <f t="shared" si="0"/>
        <v>45</v>
      </c>
      <c r="L63" s="162">
        <f>D63*((39*3)-($F$42*39/5))-(J63*7.8)</f>
        <v>117</v>
      </c>
      <c r="M63" s="222">
        <f t="shared" si="3"/>
        <v>30</v>
      </c>
      <c r="N63" s="162">
        <f t="shared" si="2"/>
        <v>-87</v>
      </c>
      <c r="O63" s="57"/>
      <c r="P63" s="57"/>
      <c r="Q63" s="57"/>
    </row>
    <row r="64" spans="1:17" ht="12" customHeight="1">
      <c r="A64" s="3"/>
      <c r="B64" s="96"/>
      <c r="C64" s="98" t="s">
        <v>71</v>
      </c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86" t="s">
        <v>22</v>
      </c>
      <c r="D65" s="102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6" t="s">
        <v>29</v>
      </c>
      <c r="D66" s="102">
        <v>8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6" t="s">
        <v>48</v>
      </c>
      <c r="D67" s="102"/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6" t="s">
        <v>44</v>
      </c>
      <c r="D68" s="102"/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6" t="s">
        <v>23</v>
      </c>
      <c r="D69" s="102">
        <v>3</v>
      </c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6" t="s">
        <v>32</v>
      </c>
      <c r="D70" s="102">
        <v>10</v>
      </c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6" t="s">
        <v>102</v>
      </c>
      <c r="D71" s="102">
        <v>3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86" t="s">
        <v>158</v>
      </c>
      <c r="D72" s="102">
        <v>3</v>
      </c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>
      <c r="R842" s="3"/>
      <c r="S842" s="3"/>
      <c r="T842" s="3"/>
      <c r="U842" s="3"/>
      <c r="V842" s="3"/>
      <c r="W842" s="3"/>
    </row>
    <row r="843" spans="13:23" ht="12" customHeight="1">
      <c r="R843" s="3"/>
      <c r="S843" s="3"/>
      <c r="T843" s="3"/>
      <c r="U843" s="3"/>
      <c r="V843" s="3"/>
      <c r="W843" s="3"/>
    </row>
    <row r="844" spans="13:23" ht="12" customHeight="1">
      <c r="R844" s="3"/>
      <c r="S844" s="3"/>
      <c r="T844" s="3"/>
      <c r="U844" s="3"/>
      <c r="V844" s="3"/>
      <c r="W844" s="3"/>
    </row>
    <row r="845" spans="13:23" ht="12" customHeight="1">
      <c r="R845" s="3"/>
      <c r="S845" s="3"/>
      <c r="T845" s="3"/>
      <c r="U845" s="3"/>
      <c r="V845" s="3"/>
      <c r="W845" s="3"/>
    </row>
    <row r="846" spans="13:23" ht="12" customHeight="1">
      <c r="R846" s="3"/>
      <c r="S846" s="3"/>
      <c r="T846" s="3"/>
      <c r="U846" s="3"/>
      <c r="V846" s="3"/>
      <c r="W846" s="3"/>
    </row>
    <row r="847" spans="13:23" ht="12" customHeight="1">
      <c r="R847" s="3"/>
      <c r="S847" s="3"/>
      <c r="T847" s="3"/>
      <c r="U847" s="3"/>
      <c r="V847" s="3"/>
      <c r="W847" s="3"/>
    </row>
    <row r="848" spans="13:23" ht="12" customHeight="1">
      <c r="R848" s="3"/>
      <c r="S848" s="3"/>
      <c r="T848" s="3"/>
      <c r="U848" s="3"/>
      <c r="V848" s="3"/>
      <c r="W848" s="3"/>
    </row>
    <row r="849" spans="18:23" ht="12" customHeight="1">
      <c r="R849" s="3"/>
      <c r="S849" s="3"/>
      <c r="T849" s="3"/>
      <c r="U849" s="3"/>
      <c r="V849" s="3"/>
      <c r="W849" s="3"/>
    </row>
    <row r="850" spans="18:23" ht="12" customHeight="1">
      <c r="R850" s="3"/>
      <c r="S850" s="3"/>
      <c r="T850" s="3"/>
      <c r="U850" s="3"/>
      <c r="V850" s="3"/>
      <c r="W850" s="3"/>
    </row>
    <row r="851" spans="18:23" ht="12" customHeight="1">
      <c r="R851" s="3"/>
      <c r="S851" s="3"/>
      <c r="T851" s="3"/>
      <c r="U851" s="3"/>
      <c r="V851" s="3"/>
      <c r="W851" s="3"/>
    </row>
    <row r="852" spans="18:23" ht="12" customHeight="1">
      <c r="R852" s="3"/>
      <c r="S852" s="3"/>
      <c r="T852" s="3"/>
      <c r="U852" s="3"/>
      <c r="V852" s="3"/>
      <c r="W852" s="3"/>
    </row>
    <row r="853" spans="18:23" ht="12" customHeight="1">
      <c r="R853" s="3"/>
      <c r="S853" s="3"/>
      <c r="T853" s="3"/>
      <c r="U853" s="3"/>
      <c r="V853" s="3"/>
      <c r="W853" s="3"/>
    </row>
    <row r="854" spans="18:23" ht="12" customHeight="1">
      <c r="R854" s="3"/>
      <c r="S854" s="3"/>
      <c r="T854" s="3"/>
      <c r="U854" s="3"/>
      <c r="V854" s="3"/>
      <c r="W854" s="3"/>
    </row>
    <row r="855" spans="18:23" ht="12" customHeight="1">
      <c r="R855" s="3"/>
      <c r="S855" s="3"/>
      <c r="T855" s="3"/>
      <c r="U855" s="3"/>
      <c r="V855" s="3"/>
      <c r="W855" s="3"/>
    </row>
    <row r="856" spans="18:23" ht="12" customHeight="1">
      <c r="R856" s="3"/>
      <c r="S856" s="3"/>
      <c r="T856" s="3"/>
      <c r="U856" s="3"/>
      <c r="V856" s="3"/>
      <c r="W856" s="3"/>
    </row>
    <row r="857" spans="18:23" ht="12" customHeight="1">
      <c r="R857" s="3"/>
      <c r="S857" s="3"/>
      <c r="T857" s="3"/>
      <c r="U857" s="3"/>
      <c r="V857" s="3"/>
      <c r="W857" s="3"/>
    </row>
    <row r="858" spans="18:23" ht="12" customHeight="1">
      <c r="R858" s="3"/>
      <c r="S858" s="3"/>
      <c r="T858" s="3"/>
      <c r="U858" s="3"/>
      <c r="V858" s="3"/>
      <c r="W858" s="3"/>
    </row>
    <row r="859" spans="18:23" ht="12" customHeight="1">
      <c r="R859" s="3"/>
      <c r="S859" s="3"/>
      <c r="T859" s="3"/>
      <c r="U859" s="3"/>
      <c r="V859" s="3"/>
      <c r="W859" s="3"/>
    </row>
    <row r="860" spans="18:23" ht="12" customHeight="1">
      <c r="R860" s="3"/>
      <c r="S860" s="3"/>
      <c r="T860" s="3"/>
      <c r="U860" s="3"/>
      <c r="V860" s="3"/>
      <c r="W860" s="3"/>
    </row>
    <row r="861" spans="18:23" ht="12" customHeight="1">
      <c r="R861" s="3"/>
      <c r="S861" s="3"/>
      <c r="T861" s="3"/>
      <c r="U861" s="3"/>
      <c r="V861" s="3"/>
      <c r="W861" s="3"/>
    </row>
    <row r="862" spans="18:23" ht="12" customHeight="1">
      <c r="R862" s="3"/>
      <c r="S862" s="3"/>
      <c r="T862" s="3"/>
      <c r="U862" s="3"/>
      <c r="V862" s="3"/>
      <c r="W862" s="3"/>
    </row>
    <row r="863" spans="18:23" ht="12" customHeight="1">
      <c r="R863" s="3"/>
      <c r="S863" s="3"/>
      <c r="T863" s="3"/>
      <c r="U863" s="3"/>
      <c r="V863" s="3"/>
      <c r="W863" s="3"/>
    </row>
    <row r="864" spans="18:23" ht="12" customHeight="1">
      <c r="R864" s="3"/>
      <c r="S864" s="3"/>
      <c r="T864" s="3"/>
      <c r="U864" s="3"/>
      <c r="V864" s="3"/>
      <c r="W864" s="3"/>
    </row>
    <row r="865" spans="18:23" ht="12" customHeight="1">
      <c r="R865" s="3"/>
      <c r="S865" s="3"/>
      <c r="T865" s="3"/>
      <c r="U865" s="3"/>
      <c r="V865" s="3"/>
      <c r="W865" s="3"/>
    </row>
    <row r="866" spans="18:23" ht="12" customHeight="1">
      <c r="R866" s="3"/>
      <c r="S866" s="3"/>
      <c r="T866" s="3"/>
      <c r="U866" s="3"/>
      <c r="V866" s="3"/>
      <c r="W866" s="3"/>
    </row>
    <row r="867" spans="18:23" ht="12" customHeight="1">
      <c r="R867" s="3"/>
      <c r="S867" s="3"/>
      <c r="T867" s="3"/>
      <c r="U867" s="3"/>
      <c r="V867" s="3"/>
      <c r="W867" s="3"/>
    </row>
    <row r="868" spans="18:23" ht="12" customHeight="1">
      <c r="R868" s="3"/>
      <c r="S868" s="3"/>
      <c r="T868" s="3"/>
      <c r="U868" s="3"/>
      <c r="V868" s="3"/>
      <c r="W868" s="3"/>
    </row>
    <row r="869" spans="18:23" ht="12" customHeight="1">
      <c r="R869" s="3"/>
      <c r="S869" s="3"/>
      <c r="T869" s="3"/>
      <c r="U869" s="3"/>
      <c r="V869" s="3"/>
      <c r="W869" s="3"/>
    </row>
    <row r="870" spans="18:23" ht="12" customHeight="1">
      <c r="R870" s="3"/>
      <c r="S870" s="3"/>
      <c r="T870" s="3"/>
      <c r="U870" s="3"/>
      <c r="V870" s="3"/>
      <c r="W870" s="3"/>
    </row>
    <row r="871" spans="18:23" ht="12" customHeight="1">
      <c r="R871" s="3"/>
      <c r="S871" s="3"/>
      <c r="T871" s="3"/>
      <c r="U871" s="3"/>
      <c r="V871" s="3"/>
      <c r="W871" s="3"/>
    </row>
    <row r="872" spans="18:23" ht="12" customHeight="1">
      <c r="R872" s="3"/>
      <c r="S872" s="3"/>
      <c r="T872" s="3"/>
      <c r="U872" s="3"/>
      <c r="V872" s="3"/>
      <c r="W872" s="3"/>
    </row>
    <row r="873" spans="18:23" ht="12" customHeight="1">
      <c r="R873" s="3"/>
      <c r="S873" s="3"/>
      <c r="T873" s="3"/>
      <c r="U873" s="3"/>
      <c r="V873" s="3"/>
      <c r="W873" s="3"/>
    </row>
    <row r="874" spans="18:23" ht="12" customHeight="1">
      <c r="R874" s="3"/>
      <c r="S874" s="3"/>
      <c r="T874" s="3"/>
      <c r="U874" s="3"/>
      <c r="V874" s="3"/>
      <c r="W874" s="3"/>
    </row>
    <row r="875" spans="18:23" ht="12" customHeight="1">
      <c r="R875" s="3"/>
      <c r="S875" s="3"/>
      <c r="T875" s="3"/>
      <c r="U875" s="3"/>
      <c r="V875" s="3"/>
      <c r="W875" s="3"/>
    </row>
    <row r="876" spans="18:23" ht="12" customHeight="1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" zoomScale="112" zoomScaleNormal="112" workbookViewId="0">
      <selection activeCell="E30" sqref="E30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3.75" style="2" customWidth="1"/>
    <col min="12" max="12" width="22.375" style="1" customWidth="1"/>
    <col min="13" max="13" width="11.25" style="1" customWidth="1"/>
    <col min="14" max="14" width="10.125" style="1" customWidth="1"/>
    <col min="15" max="15" width="8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3" ht="14.25" customHeight="1">
      <c r="A1" s="367" t="s">
        <v>159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"/>
      <c r="Q1" s="3"/>
      <c r="R1" s="3"/>
      <c r="S1" s="3"/>
      <c r="T1" s="3"/>
      <c r="U1" s="3"/>
      <c r="V1" s="3"/>
      <c r="W1" s="3"/>
    </row>
    <row r="2" spans="1:23" ht="12" customHeight="1">
      <c r="A2" s="3"/>
      <c r="B2" s="3"/>
      <c r="C2" s="368" t="s">
        <v>1</v>
      </c>
      <c r="D2" s="368"/>
      <c r="E2" s="4" t="s">
        <v>2</v>
      </c>
      <c r="F2" s="369" t="s">
        <v>3</v>
      </c>
      <c r="G2" s="369"/>
      <c r="H2" s="5"/>
      <c r="I2" s="5"/>
      <c r="J2" s="5"/>
      <c r="K2" s="6"/>
      <c r="L2" s="370" t="s">
        <v>4</v>
      </c>
      <c r="M2" s="370"/>
      <c r="N2" s="370"/>
      <c r="O2" s="370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>
      <c r="A4" s="21" t="s">
        <v>18</v>
      </c>
      <c r="B4" s="22">
        <v>45844</v>
      </c>
      <c r="C4" s="48" t="s">
        <v>42</v>
      </c>
      <c r="D4" s="48" t="s">
        <v>42</v>
      </c>
      <c r="E4" s="132" t="s">
        <v>44</v>
      </c>
      <c r="F4" s="23" t="s">
        <v>38</v>
      </c>
      <c r="G4" s="32" t="s">
        <v>38</v>
      </c>
      <c r="H4" s="223" t="s">
        <v>22</v>
      </c>
      <c r="I4" s="132" t="s">
        <v>102</v>
      </c>
      <c r="J4" s="27"/>
      <c r="K4" s="28" t="s">
        <v>29</v>
      </c>
      <c r="L4" s="224" t="s">
        <v>161</v>
      </c>
      <c r="M4" s="188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>
      <c r="A5" s="170" t="s">
        <v>26</v>
      </c>
      <c r="B5" s="22">
        <v>45845</v>
      </c>
      <c r="C5" s="32" t="s">
        <v>34</v>
      </c>
      <c r="D5" s="32" t="s">
        <v>34</v>
      </c>
      <c r="E5" s="132" t="s">
        <v>102</v>
      </c>
      <c r="F5" s="23" t="s">
        <v>36</v>
      </c>
      <c r="G5" s="23" t="s">
        <v>36</v>
      </c>
      <c r="H5" s="30"/>
      <c r="I5" s="132" t="s">
        <v>23</v>
      </c>
      <c r="J5" s="30"/>
      <c r="K5" s="33" t="s">
        <v>19</v>
      </c>
      <c r="L5" s="224" t="s">
        <v>161</v>
      </c>
      <c r="M5" s="188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>
      <c r="A6" s="170" t="s">
        <v>30</v>
      </c>
      <c r="B6" s="22">
        <v>45846</v>
      </c>
      <c r="C6" s="32" t="s">
        <v>42</v>
      </c>
      <c r="D6" s="32" t="s">
        <v>42</v>
      </c>
      <c r="E6" s="132" t="s">
        <v>48</v>
      </c>
      <c r="F6" s="32" t="s">
        <v>31</v>
      </c>
      <c r="G6" s="32" t="s">
        <v>31</v>
      </c>
      <c r="H6" s="204" t="s">
        <v>136</v>
      </c>
      <c r="I6" s="204" t="s">
        <v>136</v>
      </c>
      <c r="J6" s="32"/>
      <c r="K6" s="28" t="s">
        <v>29</v>
      </c>
      <c r="L6" s="224" t="s">
        <v>161</v>
      </c>
      <c r="M6" s="188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>
      <c r="A7" s="170" t="s">
        <v>33</v>
      </c>
      <c r="B7" s="22">
        <v>45847</v>
      </c>
      <c r="C7" s="32" t="s">
        <v>38</v>
      </c>
      <c r="D7" s="190" t="s">
        <v>38</v>
      </c>
      <c r="E7" s="132" t="s">
        <v>44</v>
      </c>
      <c r="F7" s="132" t="s">
        <v>102</v>
      </c>
      <c r="G7" s="63" t="s">
        <v>28</v>
      </c>
      <c r="H7" s="27"/>
      <c r="I7" s="132" t="s">
        <v>28</v>
      </c>
      <c r="J7" s="27"/>
      <c r="K7" s="33" t="s">
        <v>48</v>
      </c>
      <c r="L7" s="224" t="s">
        <v>162</v>
      </c>
      <c r="M7" s="188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>
      <c r="A8" s="170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2" t="s">
        <v>102</v>
      </c>
      <c r="J8" s="27"/>
      <c r="K8" s="28" t="s">
        <v>29</v>
      </c>
      <c r="L8" s="224" t="s">
        <v>163</v>
      </c>
      <c r="M8" s="188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>
      <c r="A9" s="173" t="s">
        <v>41</v>
      </c>
      <c r="B9" s="38">
        <v>45849</v>
      </c>
      <c r="C9" s="132" t="s">
        <v>44</v>
      </c>
      <c r="D9" s="39" t="s">
        <v>36</v>
      </c>
      <c r="E9" s="39" t="s">
        <v>19</v>
      </c>
      <c r="F9" s="132" t="s">
        <v>23</v>
      </c>
      <c r="G9" s="132" t="s">
        <v>23</v>
      </c>
      <c r="H9" s="41"/>
      <c r="I9" s="177" t="s">
        <v>119</v>
      </c>
      <c r="J9" s="42"/>
      <c r="K9" s="43"/>
      <c r="L9" s="225" t="s">
        <v>163</v>
      </c>
      <c r="M9" s="188" t="s">
        <v>129</v>
      </c>
      <c r="N9" s="178"/>
      <c r="O9" s="34"/>
      <c r="P9" s="3"/>
      <c r="Q9" s="3"/>
      <c r="R9" s="3"/>
      <c r="S9" s="3"/>
      <c r="T9" s="3"/>
      <c r="U9" s="3"/>
      <c r="V9" s="3"/>
    </row>
    <row r="10" spans="1:23" ht="12" customHeight="1">
      <c r="A10" s="173" t="s">
        <v>43</v>
      </c>
      <c r="B10" s="38">
        <v>45850</v>
      </c>
      <c r="C10" s="41" t="s">
        <v>42</v>
      </c>
      <c r="D10" s="41" t="s">
        <v>42</v>
      </c>
      <c r="E10" s="132" t="s">
        <v>44</v>
      </c>
      <c r="F10" s="132" t="s">
        <v>48</v>
      </c>
      <c r="G10" s="132" t="s">
        <v>48</v>
      </c>
      <c r="H10" s="226" t="s">
        <v>164</v>
      </c>
      <c r="I10" s="132" t="s">
        <v>32</v>
      </c>
      <c r="J10" s="42"/>
      <c r="K10" s="43"/>
      <c r="L10" s="225" t="s">
        <v>163</v>
      </c>
      <c r="M10" s="188" t="s">
        <v>129</v>
      </c>
      <c r="N10" s="178"/>
      <c r="O10" s="34"/>
      <c r="P10" s="3"/>
      <c r="Q10" s="3"/>
      <c r="R10" s="3"/>
      <c r="S10" s="3"/>
      <c r="T10" s="3"/>
      <c r="U10" s="3"/>
      <c r="V10" s="3"/>
    </row>
    <row r="11" spans="1:23" ht="12" customHeight="1">
      <c r="A11" s="170" t="s">
        <v>18</v>
      </c>
      <c r="B11" s="22">
        <v>45851</v>
      </c>
      <c r="C11" s="32" t="s">
        <v>34</v>
      </c>
      <c r="D11" s="32" t="s">
        <v>34</v>
      </c>
      <c r="E11" s="132" t="s">
        <v>102</v>
      </c>
      <c r="F11" s="132" t="s">
        <v>22</v>
      </c>
      <c r="G11" s="132" t="s">
        <v>22</v>
      </c>
      <c r="H11" s="227" t="s">
        <v>23</v>
      </c>
      <c r="I11" s="228"/>
      <c r="J11" s="27"/>
      <c r="K11" s="28" t="s">
        <v>36</v>
      </c>
      <c r="L11" s="224" t="s">
        <v>163</v>
      </c>
      <c r="M11" s="188" t="s">
        <v>129</v>
      </c>
      <c r="N11" s="181"/>
      <c r="O11" s="34"/>
      <c r="P11" s="3"/>
      <c r="Q11" s="3"/>
      <c r="R11" s="3"/>
      <c r="S11" s="3"/>
      <c r="T11" s="3"/>
      <c r="U11" s="3"/>
      <c r="V11" s="3"/>
    </row>
    <row r="12" spans="1:23" ht="12" customHeight="1">
      <c r="A12" s="173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2" t="s">
        <v>29</v>
      </c>
      <c r="G12" s="132" t="s">
        <v>29</v>
      </c>
      <c r="H12" s="39"/>
      <c r="I12" s="132" t="s">
        <v>32</v>
      </c>
      <c r="J12" s="229"/>
      <c r="K12" s="54"/>
      <c r="L12" s="225" t="s">
        <v>163</v>
      </c>
      <c r="M12" s="188" t="s">
        <v>129</v>
      </c>
      <c r="N12" s="178"/>
      <c r="O12" s="34"/>
      <c r="P12" s="3"/>
      <c r="Q12" s="3"/>
      <c r="R12" s="3"/>
      <c r="S12" s="3"/>
      <c r="T12" s="3"/>
      <c r="U12" s="3"/>
      <c r="V12" s="3"/>
    </row>
    <row r="13" spans="1:23" ht="12" customHeight="1">
      <c r="A13" s="170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2" t="s">
        <v>102</v>
      </c>
      <c r="J13" s="52"/>
      <c r="K13" s="33" t="s">
        <v>48</v>
      </c>
      <c r="L13" s="224" t="s">
        <v>163</v>
      </c>
      <c r="M13" s="188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>
      <c r="A14" s="170" t="s">
        <v>33</v>
      </c>
      <c r="B14" s="22">
        <v>45854</v>
      </c>
      <c r="C14" s="32" t="s">
        <v>34</v>
      </c>
      <c r="D14" s="32" t="s">
        <v>34</v>
      </c>
      <c r="E14" s="132" t="s">
        <v>23</v>
      </c>
      <c r="F14" s="23" t="s">
        <v>38</v>
      </c>
      <c r="G14" s="132" t="s">
        <v>22</v>
      </c>
      <c r="I14" s="132" t="s">
        <v>102</v>
      </c>
      <c r="J14" s="52"/>
      <c r="K14" s="132" t="s">
        <v>22</v>
      </c>
      <c r="L14" s="224" t="s">
        <v>163</v>
      </c>
      <c r="M14" s="188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>
      <c r="A15" s="170" t="s">
        <v>35</v>
      </c>
      <c r="B15" s="22">
        <v>45855</v>
      </c>
      <c r="C15" s="32" t="s">
        <v>42</v>
      </c>
      <c r="D15" s="32" t="s">
        <v>42</v>
      </c>
      <c r="E15" s="193" t="s">
        <v>28</v>
      </c>
      <c r="F15" s="105"/>
      <c r="G15" s="132" t="s">
        <v>48</v>
      </c>
      <c r="I15" s="47" t="s">
        <v>37</v>
      </c>
      <c r="J15" s="32"/>
      <c r="K15" s="33" t="s">
        <v>19</v>
      </c>
      <c r="L15" s="224" t="s">
        <v>165</v>
      </c>
      <c r="M15" s="188" t="s">
        <v>129</v>
      </c>
      <c r="N15" s="181"/>
      <c r="O15" s="34"/>
      <c r="P15" s="3"/>
      <c r="Q15" s="3"/>
      <c r="R15" s="3"/>
      <c r="S15" s="3"/>
      <c r="T15" s="3"/>
      <c r="U15" s="3"/>
      <c r="V15" s="3"/>
    </row>
    <row r="16" spans="1:23" ht="12.75" customHeight="1">
      <c r="A16" s="173" t="s">
        <v>41</v>
      </c>
      <c r="B16" s="38">
        <v>45856</v>
      </c>
      <c r="C16" s="230" t="s">
        <v>34</v>
      </c>
      <c r="D16" s="230" t="s">
        <v>34</v>
      </c>
      <c r="E16" s="132" t="s">
        <v>22</v>
      </c>
      <c r="F16" s="132" t="s">
        <v>102</v>
      </c>
      <c r="G16" s="132" t="s">
        <v>102</v>
      </c>
      <c r="H16" s="41"/>
      <c r="I16" s="177" t="s">
        <v>46</v>
      </c>
      <c r="J16" s="42"/>
      <c r="K16" s="43"/>
      <c r="L16" s="225" t="s">
        <v>166</v>
      </c>
      <c r="M16" s="188" t="s">
        <v>129</v>
      </c>
      <c r="N16" s="135"/>
      <c r="O16" s="34"/>
      <c r="P16" s="3"/>
      <c r="Q16" s="3"/>
      <c r="R16" s="3"/>
    </row>
    <row r="17" spans="1:22" ht="12.75" customHeight="1">
      <c r="A17" s="173" t="s">
        <v>43</v>
      </c>
      <c r="B17" s="38">
        <v>45857</v>
      </c>
      <c r="C17" s="40" t="s">
        <v>36</v>
      </c>
      <c r="D17" s="40" t="s">
        <v>36</v>
      </c>
      <c r="E17" s="231" t="s">
        <v>32</v>
      </c>
      <c r="F17" s="132" t="s">
        <v>44</v>
      </c>
      <c r="G17" s="132" t="s">
        <v>44</v>
      </c>
      <c r="H17" s="226" t="s">
        <v>23</v>
      </c>
      <c r="I17" s="132" t="s">
        <v>22</v>
      </c>
      <c r="J17" s="42"/>
      <c r="K17" s="43"/>
      <c r="L17" s="225" t="s">
        <v>165</v>
      </c>
      <c r="M17" s="55"/>
      <c r="N17" s="135"/>
      <c r="O17" s="34"/>
      <c r="P17" s="3"/>
      <c r="Q17" s="3"/>
      <c r="R17" s="3"/>
    </row>
    <row r="18" spans="1:22" ht="12.75" customHeight="1">
      <c r="A18" s="170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2" t="s">
        <v>22</v>
      </c>
      <c r="G18" s="132" t="s">
        <v>22</v>
      </c>
      <c r="H18" s="226" t="s">
        <v>48</v>
      </c>
      <c r="I18" s="32" t="s">
        <v>21</v>
      </c>
      <c r="J18" s="48"/>
      <c r="K18" s="48" t="s">
        <v>20</v>
      </c>
      <c r="L18" s="224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>
      <c r="A19" s="170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2" t="s">
        <v>32</v>
      </c>
      <c r="G19" s="132" t="s">
        <v>32</v>
      </c>
      <c r="H19" s="36"/>
      <c r="I19" s="132" t="s">
        <v>102</v>
      </c>
      <c r="J19" s="48" t="s">
        <v>20</v>
      </c>
      <c r="K19" s="132" t="s">
        <v>44</v>
      </c>
      <c r="L19" s="224" t="s">
        <v>167</v>
      </c>
      <c r="M19" s="30" t="s">
        <v>75</v>
      </c>
      <c r="N19" s="28"/>
      <c r="O19" s="34"/>
      <c r="P19" s="3"/>
      <c r="Q19" s="3"/>
      <c r="R19" s="3"/>
      <c r="S19" s="192"/>
    </row>
    <row r="20" spans="1:22" ht="12.75" customHeight="1">
      <c r="A20" s="170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2" t="s">
        <v>44</v>
      </c>
      <c r="G20" s="132" t="s">
        <v>44</v>
      </c>
      <c r="H20" s="204" t="s">
        <v>136</v>
      </c>
      <c r="I20" s="32" t="s">
        <v>21</v>
      </c>
      <c r="K20" s="32" t="s">
        <v>48</v>
      </c>
      <c r="L20" s="224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>
      <c r="A21" s="170" t="s">
        <v>33</v>
      </c>
      <c r="B21" s="22">
        <v>45861</v>
      </c>
      <c r="C21" s="32" t="s">
        <v>31</v>
      </c>
      <c r="D21" s="104" t="s">
        <v>102</v>
      </c>
      <c r="E21" s="33" t="s">
        <v>47</v>
      </c>
      <c r="F21" s="23" t="s">
        <v>34</v>
      </c>
      <c r="G21" s="63" t="s">
        <v>34</v>
      </c>
      <c r="H21" s="30"/>
      <c r="I21" s="193" t="s">
        <v>21</v>
      </c>
      <c r="J21" s="30"/>
      <c r="K21" s="28"/>
      <c r="L21" s="224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>
      <c r="A22" s="170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2" t="s">
        <v>23</v>
      </c>
      <c r="G22" s="132" t="s">
        <v>23</v>
      </c>
      <c r="H22" s="32"/>
      <c r="I22" s="228"/>
      <c r="J22" s="32"/>
      <c r="K22" s="132" t="s">
        <v>44</v>
      </c>
      <c r="L22" s="224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>
      <c r="A23" s="173" t="s">
        <v>41</v>
      </c>
      <c r="B23" s="38">
        <v>45863</v>
      </c>
      <c r="C23" s="232" t="s">
        <v>21</v>
      </c>
      <c r="D23" s="39" t="s">
        <v>20</v>
      </c>
      <c r="E23" s="54" t="s">
        <v>47</v>
      </c>
      <c r="F23" s="132" t="s">
        <v>48</v>
      </c>
      <c r="G23" s="132" t="s">
        <v>48</v>
      </c>
      <c r="H23" s="51" t="s">
        <v>168</v>
      </c>
      <c r="I23" s="132" t="s">
        <v>102</v>
      </c>
      <c r="J23" s="42"/>
      <c r="K23" s="43"/>
      <c r="L23" s="55" t="s">
        <v>169</v>
      </c>
      <c r="M23" s="55"/>
      <c r="N23" s="135"/>
      <c r="O23" s="34"/>
      <c r="P23" s="3"/>
      <c r="Q23" s="3"/>
      <c r="R23" s="3"/>
    </row>
    <row r="24" spans="1:22" ht="12.75" customHeight="1">
      <c r="A24" s="173" t="s">
        <v>43</v>
      </c>
      <c r="B24" s="38">
        <v>45864</v>
      </c>
      <c r="C24" s="41" t="s">
        <v>36</v>
      </c>
      <c r="D24" s="39" t="s">
        <v>20</v>
      </c>
      <c r="E24" s="232" t="s">
        <v>21</v>
      </c>
      <c r="F24" s="132" t="s">
        <v>22</v>
      </c>
      <c r="G24" s="132" t="s">
        <v>22</v>
      </c>
      <c r="H24" s="226" t="s">
        <v>32</v>
      </c>
      <c r="I24" s="177" t="s">
        <v>119</v>
      </c>
      <c r="J24" s="42"/>
      <c r="K24" s="43"/>
      <c r="L24" s="55" t="s">
        <v>170</v>
      </c>
      <c r="M24" s="55"/>
      <c r="N24" s="135"/>
      <c r="O24" s="34"/>
      <c r="P24" s="3"/>
      <c r="Q24" s="3"/>
      <c r="R24" s="3"/>
    </row>
    <row r="25" spans="1:22" ht="12.75" customHeight="1">
      <c r="A25" s="170" t="s">
        <v>18</v>
      </c>
      <c r="B25" s="22">
        <v>45865</v>
      </c>
      <c r="C25" s="132" t="s">
        <v>23</v>
      </c>
      <c r="D25" s="132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2" t="s">
        <v>44</v>
      </c>
      <c r="L25" s="180" t="s">
        <v>171</v>
      </c>
      <c r="M25" s="30"/>
      <c r="N25" s="28"/>
      <c r="O25" s="34"/>
      <c r="P25" s="3"/>
      <c r="Q25" s="3"/>
      <c r="R25" s="3"/>
    </row>
    <row r="26" spans="1:22" ht="13.5" customHeight="1">
      <c r="A26" s="195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2" t="s">
        <v>102</v>
      </c>
      <c r="J26" s="48"/>
      <c r="K26" s="33" t="s">
        <v>48</v>
      </c>
      <c r="L26" s="180" t="s">
        <v>171</v>
      </c>
      <c r="M26" s="30"/>
      <c r="N26" s="28"/>
      <c r="O26" s="34"/>
      <c r="P26" s="3"/>
      <c r="Q26" s="3"/>
      <c r="R26" s="3"/>
    </row>
    <row r="27" spans="1:22" ht="12.75" customHeight="1">
      <c r="A27" s="170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2" t="s">
        <v>44</v>
      </c>
      <c r="G27" s="132" t="s">
        <v>44</v>
      </c>
      <c r="H27" s="233" t="s">
        <v>136</v>
      </c>
      <c r="I27" s="27" t="s">
        <v>28</v>
      </c>
      <c r="J27" s="48"/>
      <c r="K27" s="48" t="s">
        <v>20</v>
      </c>
      <c r="L27" s="180" t="s">
        <v>172</v>
      </c>
      <c r="M27" s="30"/>
      <c r="N27" s="28"/>
      <c r="O27" s="34"/>
      <c r="P27" s="3"/>
      <c r="Q27" s="3"/>
      <c r="R27" s="3"/>
    </row>
    <row r="28" spans="1:22" ht="12.75" customHeight="1">
      <c r="A28" s="170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2" t="s">
        <v>22</v>
      </c>
      <c r="H28" s="32"/>
      <c r="I28" s="132" t="s">
        <v>102</v>
      </c>
      <c r="J28" s="33"/>
      <c r="K28" s="132" t="s">
        <v>22</v>
      </c>
      <c r="L28" s="180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>
      <c r="A29" s="170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2" t="s">
        <v>48</v>
      </c>
      <c r="H29" s="32"/>
      <c r="I29" s="132" t="s">
        <v>102</v>
      </c>
      <c r="J29" s="32"/>
      <c r="K29" s="33" t="s">
        <v>48</v>
      </c>
      <c r="L29" s="180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>
      <c r="A30" s="37" t="s">
        <v>41</v>
      </c>
      <c r="B30" s="38">
        <v>45870</v>
      </c>
      <c r="C30" s="230" t="s">
        <v>28</v>
      </c>
      <c r="D30" s="230" t="s">
        <v>28</v>
      </c>
      <c r="E30" s="104" t="s">
        <v>22</v>
      </c>
      <c r="F30" s="40" t="s">
        <v>37</v>
      </c>
      <c r="G30" s="51" t="s">
        <v>168</v>
      </c>
      <c r="H30" s="41"/>
      <c r="I30" s="177" t="s">
        <v>119</v>
      </c>
      <c r="J30" s="42"/>
      <c r="K30" s="43"/>
      <c r="L30" s="185" t="s">
        <v>173</v>
      </c>
      <c r="M30" s="44"/>
      <c r="N30" s="135"/>
      <c r="O30" s="34"/>
      <c r="P30" s="3"/>
      <c r="Q30" s="3"/>
      <c r="R30" s="3"/>
      <c r="S30" s="3"/>
      <c r="T30" s="3"/>
      <c r="U30" s="3"/>
      <c r="V30" s="3"/>
    </row>
    <row r="31" spans="1:22" ht="12.75" customHeight="1">
      <c r="A31" s="37" t="s">
        <v>43</v>
      </c>
      <c r="B31" s="38">
        <v>45871</v>
      </c>
      <c r="C31" s="230" t="s">
        <v>34</v>
      </c>
      <c r="D31" s="230" t="s">
        <v>34</v>
      </c>
      <c r="E31" s="54" t="s">
        <v>47</v>
      </c>
      <c r="F31" s="104" t="s">
        <v>22</v>
      </c>
      <c r="G31" s="104" t="s">
        <v>22</v>
      </c>
      <c r="H31" s="226" t="s">
        <v>44</v>
      </c>
      <c r="I31" s="132" t="s">
        <v>32</v>
      </c>
      <c r="J31" s="42"/>
      <c r="K31" s="43"/>
      <c r="L31" s="185" t="s">
        <v>173</v>
      </c>
      <c r="M31" s="44"/>
      <c r="N31" s="135"/>
      <c r="O31" s="34"/>
      <c r="P31" s="3"/>
      <c r="Q31" s="3"/>
      <c r="R31" s="3"/>
      <c r="S31" s="3"/>
      <c r="T31" s="3"/>
      <c r="U31" s="3"/>
      <c r="V31" s="3"/>
    </row>
    <row r="32" spans="1:22" ht="12.75" customHeight="1">
      <c r="B32" s="71"/>
      <c r="F32" s="20"/>
    </row>
    <row r="33" spans="1:20" ht="12.75" customHeight="1">
      <c r="A33" s="370" t="s">
        <v>53</v>
      </c>
      <c r="B33" s="370"/>
      <c r="C33" s="370"/>
      <c r="D33" s="370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4"/>
      <c r="O35" s="235"/>
    </row>
    <row r="36" spans="1:20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6" t="s">
        <v>64</v>
      </c>
      <c r="J36" s="366" t="s">
        <v>65</v>
      </c>
      <c r="K36" s="366" t="s">
        <v>66</v>
      </c>
      <c r="L36" s="366" t="s">
        <v>67</v>
      </c>
      <c r="M36" s="366" t="s">
        <v>68</v>
      </c>
      <c r="N36" s="98"/>
      <c r="O36" s="78"/>
    </row>
    <row r="37" spans="1:20" ht="12" customHeight="1">
      <c r="A37" s="73"/>
      <c r="B37" s="73"/>
      <c r="C37" s="161" t="s">
        <v>38</v>
      </c>
      <c r="D37" s="236">
        <v>1</v>
      </c>
      <c r="E37" s="365">
        <f>COUNTIF($C$4:$C$31,"BOULAT")+COUNTIF($F$4:$F$31,"BOULAT")+COUNTIF($I$4:$I$31,"BOULAT")+COUNTIF($K$4:$K$31,"BOULAT")</f>
        <v>4</v>
      </c>
      <c r="F37" s="365">
        <f>COUNTIF($D$4:$D$31,"BOULAT")+COUNTIF($G$4:$G$31,"BOULAT")</f>
        <v>3</v>
      </c>
      <c r="G37" s="365">
        <f>COUNTIF($E$4:$E$31,"BOULAT")</f>
        <v>0</v>
      </c>
      <c r="H37" s="161"/>
      <c r="I37" s="365">
        <v>10</v>
      </c>
      <c r="J37" s="162">
        <f t="shared" ref="J37:J55" si="0">D37*((9*$D$35)-($F$35*9/5))-(D37*(I37*1.8))</f>
        <v>16.200000000000003</v>
      </c>
      <c r="K37" s="237">
        <f t="shared" ref="K37:K55" si="1">D37*((39*$D$35)-($F$35*39/5))-(I37*7.8)</f>
        <v>70.199999999999989</v>
      </c>
      <c r="L37" s="162">
        <f t="shared" ref="L37:L43" si="2">E37*10+F37*14+G37*12</f>
        <v>82</v>
      </c>
      <c r="M37" s="238">
        <f t="shared" ref="M37:M56" si="3">L37-K37</f>
        <v>11.800000000000011</v>
      </c>
      <c r="N37" s="31"/>
      <c r="O37" s="3"/>
    </row>
    <row r="38" spans="1:20" ht="12.75" customHeight="1">
      <c r="A38" s="73"/>
      <c r="B38" s="73"/>
      <c r="C38" s="161" t="s">
        <v>36</v>
      </c>
      <c r="D38" s="236">
        <v>1</v>
      </c>
      <c r="E38" s="365">
        <f>COUNTIF($C$4:$C$31,"BRUGIROUX")+COUNTIF($I$4:$I$31,"BRUGIROUX")+COUNTIF($F$4:$F$31,"BRUGIROUX")+COUNTIF($K$4:$K$31,"BRUGIROUX")</f>
        <v>5</v>
      </c>
      <c r="F38" s="365">
        <f>COUNTIF($D$4:$D$31,"BRUGIROUX")+COUNTIF($G$4:$G$31,"BRUGIROUX")</f>
        <v>8</v>
      </c>
      <c r="G38" s="365">
        <f>COUNTIF($E$4:$E$31,"BRUGIROUX")</f>
        <v>1</v>
      </c>
      <c r="H38" s="161">
        <f>COUNTIF($J$4:$J$31,"BRUGIROUX")</f>
        <v>0</v>
      </c>
      <c r="I38" s="365">
        <v>3</v>
      </c>
      <c r="J38" s="162">
        <f t="shared" si="0"/>
        <v>28.800000000000004</v>
      </c>
      <c r="K38" s="237">
        <f t="shared" si="1"/>
        <v>124.79999999999998</v>
      </c>
      <c r="L38" s="162">
        <f t="shared" si="2"/>
        <v>174</v>
      </c>
      <c r="M38" s="238">
        <f t="shared" si="3"/>
        <v>49.200000000000017</v>
      </c>
      <c r="N38" s="31"/>
      <c r="O38" s="3"/>
    </row>
    <row r="39" spans="1:20" ht="12.75" customHeight="1">
      <c r="A39" s="73"/>
      <c r="B39" s="73"/>
      <c r="C39" s="161" t="s">
        <v>21</v>
      </c>
      <c r="D39" s="239">
        <v>0.5</v>
      </c>
      <c r="E39" s="365">
        <f>COUNTIF($C$4:$C$31,"CAUVY")+COUNTIF($F$4:$F$31,"CAUVY")+COUNTIF($I$4:$I$31,"CAUVY")+COUNTIF($K$4:$K$31,"CAUVY")</f>
        <v>4</v>
      </c>
      <c r="F39" s="365">
        <f>COUNTIF($D$4:$D$31,"CAUVY")+COUNTIF($G$4:$G$31,"CAUVY")</f>
        <v>0</v>
      </c>
      <c r="G39" s="365">
        <f>COUNTIF($E$4:$E$31,"CAUVY")</f>
        <v>1</v>
      </c>
      <c r="H39" s="365"/>
      <c r="I39" s="365">
        <v>2.5</v>
      </c>
      <c r="J39" s="162">
        <f t="shared" si="0"/>
        <v>14.850000000000001</v>
      </c>
      <c r="K39" s="237">
        <f t="shared" si="1"/>
        <v>54.599999999999994</v>
      </c>
      <c r="L39" s="162">
        <f t="shared" si="2"/>
        <v>52</v>
      </c>
      <c r="M39" s="240">
        <f t="shared" si="3"/>
        <v>-2.5999999999999943</v>
      </c>
      <c r="N39" s="31"/>
      <c r="O39" s="3"/>
    </row>
    <row r="40" spans="1:20" ht="12" customHeight="1">
      <c r="A40" s="73"/>
      <c r="B40" s="73"/>
      <c r="C40" s="161" t="s">
        <v>31</v>
      </c>
      <c r="D40" s="239">
        <v>0.8</v>
      </c>
      <c r="E40" s="365">
        <f>COUNTIF($C$4:$C$31,"FONTAINE")+COUNTIF($I$4:$I$31,"FONTAINE")+COUNTIF($F$4:$F$31,"FONTAINE")+COUNTIF($K$4:$K$31,"FONTAINE")</f>
        <v>3</v>
      </c>
      <c r="F40" s="365">
        <f>COUNTIF($D$4:$D$31,"FONTAINE")+COUNTIF($G$4:$G$31,"FONTAINE")</f>
        <v>2</v>
      </c>
      <c r="G40" s="365">
        <f>COUNTIF($E$4:$E$31,"FONTAINE")</f>
        <v>0</v>
      </c>
      <c r="H40" s="161"/>
      <c r="I40" s="365">
        <v>8</v>
      </c>
      <c r="J40" s="162">
        <f t="shared" si="0"/>
        <v>15.840000000000002</v>
      </c>
      <c r="K40" s="237">
        <f t="shared" si="1"/>
        <v>56.160000000000004</v>
      </c>
      <c r="L40" s="162">
        <f t="shared" si="2"/>
        <v>58</v>
      </c>
      <c r="M40" s="238">
        <f t="shared" si="3"/>
        <v>1.8399999999999963</v>
      </c>
      <c r="N40" s="31"/>
      <c r="O40" s="3"/>
    </row>
    <row r="41" spans="1:20" ht="12" customHeight="1">
      <c r="A41" s="3"/>
      <c r="B41" s="3"/>
      <c r="C41" s="162" t="s">
        <v>28</v>
      </c>
      <c r="D41" s="221">
        <v>0.6</v>
      </c>
      <c r="E41" s="365">
        <f>COUNTIF($C$4:$C$31,"KANTCHE")+COUNTIF($I$4:$I$31,"KANTCHE")+COUNTIF($F$4:$F$31,"KANTCHE")+COUNTIF($K$4:$K$31,"KANTCHE")</f>
        <v>4</v>
      </c>
      <c r="F41" s="365">
        <f>COUNTIF($D$4:$D$31,"KANTCHE")+COUNTIF($G$4:$G$31,"KANTCHE")</f>
        <v>3</v>
      </c>
      <c r="G41" s="365">
        <f>COUNTIF($E$4:$E$31,"KANTCHE")</f>
        <v>2</v>
      </c>
      <c r="H41" s="162"/>
      <c r="I41" s="162">
        <v>3</v>
      </c>
      <c r="J41" s="162">
        <f t="shared" si="0"/>
        <v>17.28</v>
      </c>
      <c r="K41" s="237">
        <f t="shared" si="1"/>
        <v>65.519999999999982</v>
      </c>
      <c r="L41" s="162">
        <f t="shared" si="2"/>
        <v>106</v>
      </c>
      <c r="M41" s="238">
        <f t="shared" si="3"/>
        <v>40.480000000000018</v>
      </c>
      <c r="N41" s="31"/>
      <c r="O41" s="3"/>
      <c r="P41" s="3"/>
    </row>
    <row r="42" spans="1:20" ht="12" customHeight="1">
      <c r="A42" s="3"/>
      <c r="B42" s="3"/>
      <c r="C42" s="162" t="s">
        <v>42</v>
      </c>
      <c r="D42" s="221">
        <v>1</v>
      </c>
      <c r="E42" s="365">
        <f>COUNTIF($C$4:$C$31,"ORIOLI")+COUNTIF($I$4:$I$31,"ORIOLI")+COUNTIF($F$4:$F$31,"ORIOLI")+COUNTIF($K$4:$K$31,"ORIOLI")</f>
        <v>5</v>
      </c>
      <c r="F42" s="365">
        <f>COUNTIF($D$4:$D$31,"ORIOLI")+COUNTIF($G$4:$G$31,"ORIOLI")</f>
        <v>5</v>
      </c>
      <c r="G42" s="365">
        <f>COUNTIF($E$4:$E$31,"ORIOLI")</f>
        <v>0</v>
      </c>
      <c r="H42" s="162"/>
      <c r="I42" s="162">
        <v>10</v>
      </c>
      <c r="J42" s="162">
        <f t="shared" si="0"/>
        <v>16.200000000000003</v>
      </c>
      <c r="K42" s="237">
        <f t="shared" si="1"/>
        <v>70.199999999999989</v>
      </c>
      <c r="L42" s="162">
        <f t="shared" si="2"/>
        <v>120</v>
      </c>
      <c r="M42" s="238">
        <f t="shared" si="3"/>
        <v>49.800000000000011</v>
      </c>
      <c r="N42" s="31"/>
      <c r="O42" s="3"/>
      <c r="P42" s="3"/>
    </row>
    <row r="43" spans="1:20" ht="12" customHeight="1">
      <c r="A43" s="3"/>
      <c r="B43" s="3"/>
      <c r="C43" s="162" t="s">
        <v>47</v>
      </c>
      <c r="D43" s="221">
        <v>0.5</v>
      </c>
      <c r="E43" s="365">
        <f>COUNTIF($C$4:$C$31,"TKATCHOUK")+COUNTIF($I$4:$I$31,"TKATCHOUK")+COUNTIF($F$4:$F$31,"TKATCHOUK")+COUNTIF($K$4:$K$31,"TKATCHOUK")</f>
        <v>0</v>
      </c>
      <c r="F43" s="365">
        <f>COUNTIF($D$4:$D$31,"TKATCHOUK")+COUNTIF($G$4:$G$31,"TKATCHOUK")</f>
        <v>0</v>
      </c>
      <c r="G43" s="365">
        <f>COUNTIF($E$4:$E$31,"TKATCHOUK")</f>
        <v>8</v>
      </c>
      <c r="H43" s="162"/>
      <c r="I43" s="162">
        <v>0</v>
      </c>
      <c r="J43" s="162">
        <f t="shared" si="0"/>
        <v>17.100000000000001</v>
      </c>
      <c r="K43" s="237">
        <f t="shared" si="1"/>
        <v>74.099999999999994</v>
      </c>
      <c r="L43" s="162">
        <f t="shared" si="2"/>
        <v>96</v>
      </c>
      <c r="M43" s="238">
        <f t="shared" si="3"/>
        <v>21.900000000000006</v>
      </c>
      <c r="N43" s="31"/>
      <c r="O43" s="3"/>
      <c r="P43" s="3"/>
      <c r="Q43" s="3"/>
      <c r="R43" s="3"/>
    </row>
    <row r="44" spans="1:20" ht="12" customHeight="1">
      <c r="A44" s="3"/>
      <c r="B44" s="3"/>
      <c r="C44" s="162" t="s">
        <v>20</v>
      </c>
      <c r="D44" s="221">
        <v>1</v>
      </c>
      <c r="E44" s="365">
        <f>COUNTIF($C$4:$C$31,"TORREGROSSA")+COUNTIF($I$4:$I$31,"TORREGROSSA")+COUNTIF($F$4:$F$31,"TORREGROSSA")+COUNTIF($K$4:$K$31,"TORREGROSSA")</f>
        <v>4</v>
      </c>
      <c r="F44" s="365">
        <f>COUNTIF($D$4:$D$31,"TORREGROSSA")+COUNTIF($G$4:$G$31,"TORREGROSSA")</f>
        <v>4</v>
      </c>
      <c r="G44" s="365">
        <f>COUNTIF($E$4:$E$31,"TORREGROSSA")</f>
        <v>0</v>
      </c>
      <c r="H44" s="365">
        <f>COUNTIF($J$4:$J$31,"TORREGROSSA")</f>
        <v>1</v>
      </c>
      <c r="I44" s="162">
        <v>9</v>
      </c>
      <c r="J44" s="162">
        <f t="shared" si="0"/>
        <v>18.000000000000004</v>
      </c>
      <c r="K44" s="237">
        <f t="shared" si="1"/>
        <v>77.999999999999986</v>
      </c>
      <c r="L44" s="162">
        <f>E44*10+F44*14+G44*12+H44*10</f>
        <v>106</v>
      </c>
      <c r="M44" s="238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>
      <c r="A45" s="3"/>
      <c r="B45" s="3"/>
      <c r="C45" s="162" t="s">
        <v>19</v>
      </c>
      <c r="D45" s="221">
        <v>0.4</v>
      </c>
      <c r="E45" s="365">
        <f>COUNTIF($C$4:$C$31,"BALLOT")+COUNTIF($F$4:$F$31,"BALLOT")+COUNTIF($I$4:$I$31,"BALLOT")+COUNTIF($K$4:$K$31,"BALLOT")</f>
        <v>2</v>
      </c>
      <c r="F45" s="365">
        <f>COUNTIF($D$4:$D$31,"BALLOT")+COUNTIF($G$4:$G$31,"BALLOT")</f>
        <v>0</v>
      </c>
      <c r="G45" s="365">
        <f>COUNTIF($E$4:$E$31,"BALLOT")</f>
        <v>3</v>
      </c>
      <c r="H45" s="365"/>
      <c r="I45" s="162">
        <v>2</v>
      </c>
      <c r="J45" s="162">
        <f t="shared" si="0"/>
        <v>12.240000000000002</v>
      </c>
      <c r="K45" s="237">
        <f t="shared" si="1"/>
        <v>43.68</v>
      </c>
      <c r="L45" s="162">
        <f>E45*10+F45*14+G45*12</f>
        <v>56</v>
      </c>
      <c r="M45" s="238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>
      <c r="A46" s="3"/>
      <c r="B46" s="3"/>
      <c r="C46" s="162" t="s">
        <v>37</v>
      </c>
      <c r="D46" s="221">
        <v>0.4</v>
      </c>
      <c r="E46" s="365">
        <f>COUNTIF($C$4:$C$31,"MOREL")+COUNTIF($I$4:$I$31,"MOREL")+COUNTIF($F$4:$F$31,"MOREL")+COUNTIF($K$4:$K$31,"MOREL")</f>
        <v>5</v>
      </c>
      <c r="F46" s="365">
        <f>COUNTIF($D$4:$D$31,"MOREL")+COUNTIF($G$4:$G$31,"MOREL")</f>
        <v>0</v>
      </c>
      <c r="G46" s="365">
        <f>COUNTIF($E$4:$E$31,"MOREL")</f>
        <v>0</v>
      </c>
      <c r="H46" s="365"/>
      <c r="I46" s="162">
        <v>2</v>
      </c>
      <c r="J46" s="162">
        <f t="shared" si="0"/>
        <v>12.240000000000002</v>
      </c>
      <c r="K46" s="237">
        <f t="shared" si="1"/>
        <v>43.68</v>
      </c>
      <c r="L46" s="162">
        <f>E46*10+F46*14+G46*12</f>
        <v>50</v>
      </c>
      <c r="M46" s="238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>
      <c r="A47" s="3"/>
      <c r="B47" s="3"/>
      <c r="C47" s="162" t="s">
        <v>27</v>
      </c>
      <c r="D47" s="221">
        <v>0.8</v>
      </c>
      <c r="E47" s="365">
        <f>COUNTIF($C$4:$C$31,"RACHIDI")+COUNTIF($I$4:$I$31,"RACHIDI")+COUNTIF($F$4:$F$31,"RACHIDI")+COUNTIF($K$4:$K$31,"RACHIDI")</f>
        <v>1</v>
      </c>
      <c r="F47" s="365">
        <f>COUNTIF($D$4:$D$31,"RACHIDI")+COUNTIF($G$4:$G$31,"RACHIDI")</f>
        <v>1</v>
      </c>
      <c r="G47" s="365">
        <f>COUNTIF($E$4:$E$31,"RACHIDI")</f>
        <v>0</v>
      </c>
      <c r="H47" s="365"/>
      <c r="I47" s="162">
        <v>11.2</v>
      </c>
      <c r="J47" s="162">
        <f t="shared" si="0"/>
        <v>11.232000000000003</v>
      </c>
      <c r="K47" s="237">
        <f t="shared" si="1"/>
        <v>31.200000000000003</v>
      </c>
      <c r="L47" s="162">
        <f>E47*10+F47*14+G47*12</f>
        <v>24</v>
      </c>
      <c r="M47" s="240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>
      <c r="A48" s="3"/>
      <c r="B48" s="3"/>
      <c r="C48" s="162" t="s">
        <v>34</v>
      </c>
      <c r="D48" s="221">
        <v>1</v>
      </c>
      <c r="E48" s="365">
        <f>COUNTIF($C$4:$C$31,"ZEBICHE")+COUNTIF($F$4:$F$31,"ZEBICHE")+COUNTIF($I$4:$I$31,"ZEBICHE")+COUNTIF($K$4:$K$31,"ZEBICHE")</f>
        <v>9</v>
      </c>
      <c r="F48" s="365">
        <f>COUNTIF($D$4:$D$31,"ZEBICHE")+COUNTIF($G$4:$G$31,"ZEBICHE")</f>
        <v>9</v>
      </c>
      <c r="G48" s="365">
        <f>COUNTIF($E$4:$E$31,"ZEBICHE")</f>
        <v>0</v>
      </c>
      <c r="H48" s="365"/>
      <c r="I48" s="162"/>
      <c r="J48" s="162">
        <f t="shared" si="0"/>
        <v>34.200000000000003</v>
      </c>
      <c r="K48" s="237">
        <f t="shared" si="1"/>
        <v>148.19999999999999</v>
      </c>
      <c r="L48" s="162">
        <f>E48*10+F48*14+G48*12</f>
        <v>216</v>
      </c>
      <c r="M48" s="238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>
      <c r="A49" s="3"/>
      <c r="B49" s="3"/>
      <c r="C49" s="162" t="s">
        <v>22</v>
      </c>
      <c r="D49" s="221">
        <v>1</v>
      </c>
      <c r="E49" s="365">
        <f>COUNTIF($C$4:$C$31,"HACHIMI")+COUNTIF($F$4:$F$31,"HACHIMI")+COUNTIF($H$4:$H$31,"HACHIMI")+COUNTIF($I$4:$I$31,"HACHIMI")+D58+COUNTIF($K$4:$K$31,"HACHIMI")</f>
        <v>8</v>
      </c>
      <c r="F49" s="365">
        <f>COUNTIF($D$4:$D$31,"HACHIMI")+COUNTIF($H$4:$H$31,"HACHIMI")+COUNTIF($G$4:$G$31,"HACHIMI")</f>
        <v>7</v>
      </c>
      <c r="G49" s="365">
        <f>COUNTIF($E$4:$E$31,"HACHIMI")</f>
        <v>2</v>
      </c>
      <c r="H49" s="365"/>
      <c r="I49" s="162"/>
      <c r="J49" s="162">
        <f t="shared" si="0"/>
        <v>34.200000000000003</v>
      </c>
      <c r="K49" s="237">
        <f t="shared" si="1"/>
        <v>148.19999999999999</v>
      </c>
      <c r="L49" s="162">
        <f>(E49*10+F49*14+G49*12)</f>
        <v>202</v>
      </c>
      <c r="M49" s="238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>
      <c r="A50" s="3"/>
      <c r="B50" s="3"/>
      <c r="C50" s="162" t="s">
        <v>29</v>
      </c>
      <c r="D50" s="221">
        <v>1</v>
      </c>
      <c r="E50" s="365">
        <f>COUNTIF($C$4:$C$31,"BIENDOUX")+COUNTIF($H$4:$H$31,"BIENDOUX")+COUNTIF($I$4:$I$31,"BIENDOUX")+COUNTIF($F$4:$F$31,"BIENDOUX")+D59+COUNTIF($K$4:$K$31,"BIENDOUX")</f>
        <v>14</v>
      </c>
      <c r="F50" s="365">
        <v>4</v>
      </c>
      <c r="G50" s="365">
        <f>COUNTIF($E$4:$E$31,"BIENDOUX")</f>
        <v>0</v>
      </c>
      <c r="H50" s="365"/>
      <c r="I50" s="162">
        <v>4</v>
      </c>
      <c r="J50" s="162">
        <f t="shared" si="0"/>
        <v>27.000000000000004</v>
      </c>
      <c r="K50" s="237">
        <f t="shared" si="1"/>
        <v>116.99999999999999</v>
      </c>
      <c r="L50" s="162">
        <f t="shared" ref="L50:L56" si="4">E50*10+F50*14+G50*12</f>
        <v>196</v>
      </c>
      <c r="M50" s="238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>
      <c r="A51" s="3"/>
      <c r="B51" s="3"/>
      <c r="C51" s="162" t="s">
        <v>48</v>
      </c>
      <c r="D51" s="221">
        <v>1</v>
      </c>
      <c r="E51" s="365">
        <f>COUNTIF($C$4:$C$31,"AFZAL")+COUNTIF($H$4:$H$31,"AFZAL")+COUNTIF($I$4:$I$31,"AFZAL")+COUNTIF($F$4:$F$31,"AFZAL")+D60+COUNTIF($K$4:$K$31,"AFZAL")</f>
        <v>8</v>
      </c>
      <c r="F51" s="365">
        <v>9</v>
      </c>
      <c r="G51" s="365">
        <f>COUNTIF($E$4:$E$31,"AFZAL")</f>
        <v>1</v>
      </c>
      <c r="H51" s="365"/>
      <c r="I51" s="162"/>
      <c r="J51" s="162">
        <f t="shared" si="0"/>
        <v>34.200000000000003</v>
      </c>
      <c r="K51" s="237">
        <f t="shared" si="1"/>
        <v>148.19999999999999</v>
      </c>
      <c r="L51" s="162">
        <f>E51*10+F51*14+G51*12</f>
        <v>218</v>
      </c>
      <c r="M51" s="238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>
      <c r="A52" s="3"/>
      <c r="B52" s="3"/>
      <c r="C52" s="162" t="s">
        <v>44</v>
      </c>
      <c r="D52" s="221">
        <v>1</v>
      </c>
      <c r="E52" s="365">
        <f>COUNTIF($C$4:$C$31,"IBRAHIM")+COUNTIF($H$4:$H$31,"IBRAHIM")+COUNTIF($I$4:$I$31,"IBRAHIM")+COUNTIF($K$4:$K$31,"IBRAHIM")+COUNTIF($F$4:$F$31,"IBRAHIM")+D61</f>
        <v>8</v>
      </c>
      <c r="F52" s="365">
        <v>6</v>
      </c>
      <c r="G52" s="365">
        <f>COUNTIF($E$4:$E$31,"IBRAHIM")</f>
        <v>3</v>
      </c>
      <c r="H52" s="365"/>
      <c r="I52" s="162"/>
      <c r="J52" s="162">
        <f t="shared" si="0"/>
        <v>34.200000000000003</v>
      </c>
      <c r="K52" s="237">
        <f t="shared" si="1"/>
        <v>148.19999999999999</v>
      </c>
      <c r="L52" s="162">
        <f t="shared" si="4"/>
        <v>200</v>
      </c>
      <c r="M52" s="238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>
      <c r="A53" s="3"/>
      <c r="B53" s="3"/>
      <c r="C53" s="162" t="s">
        <v>23</v>
      </c>
      <c r="D53" s="221">
        <v>1</v>
      </c>
      <c r="E53" s="365">
        <f>COUNTIF($C$4:$C$31,"IMAD")+COUNTIF($H$4:$H$31,"IMAD")+COUNTIF($I$4:$I$31,"IMAD")+COUNTIF($F$4:$F$31,"IMAD")+D62+COUNTIF($K$4:$K$31,"IMAD")</f>
        <v>6</v>
      </c>
      <c r="F53" s="365">
        <f>COUNTIF($D$4:$D$31,"IMAD")+COUNTIF($H$4:$H$31,"IMAD")+COUNTIF($G$4:$G$31,"IMAD")</f>
        <v>5</v>
      </c>
      <c r="G53" s="365">
        <f>COUNTIF($E$4:$E$31,"IMAD")</f>
        <v>1</v>
      </c>
      <c r="H53" s="365"/>
      <c r="I53" s="162"/>
      <c r="J53" s="162">
        <f t="shared" si="0"/>
        <v>34.200000000000003</v>
      </c>
      <c r="K53" s="237">
        <f t="shared" si="1"/>
        <v>148.19999999999999</v>
      </c>
      <c r="L53" s="162">
        <f t="shared" si="4"/>
        <v>142</v>
      </c>
      <c r="M53" s="238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>
      <c r="A54" s="3"/>
      <c r="B54" s="3"/>
      <c r="C54" s="162" t="s">
        <v>32</v>
      </c>
      <c r="D54" s="221">
        <v>1</v>
      </c>
      <c r="E54" s="365">
        <f>COUNTIF($C$4:$C$31,"RADO")+COUNTIF($H$4:$H$31,"RADO")+COUNTIF($I$4:$I$31,"RADO")+COUNTIF($F$4:$F$31,"RADO")+D63+COUNTIF($K$4:$K$31,"RADO")</f>
        <v>14</v>
      </c>
      <c r="F54" s="365">
        <f>COUNTIF($D$4:$D$31,"RADO")+COUNTIF($H$4:$H$31,"RADO")+COUNTIF($G$4:$G$31,"RADO")</f>
        <v>2</v>
      </c>
      <c r="G54" s="365">
        <f>COUNTIF($E$4:$E$31,"RADO")</f>
        <v>2</v>
      </c>
      <c r="H54" s="365"/>
      <c r="I54" s="162">
        <v>1</v>
      </c>
      <c r="J54" s="162">
        <f t="shared" si="0"/>
        <v>32.400000000000006</v>
      </c>
      <c r="K54" s="237">
        <f t="shared" si="1"/>
        <v>140.39999999999998</v>
      </c>
      <c r="L54" s="162">
        <f t="shared" si="4"/>
        <v>192</v>
      </c>
      <c r="M54" s="238">
        <f t="shared" si="3"/>
        <v>51.600000000000023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>
      <c r="A55" s="3"/>
      <c r="B55" s="3"/>
      <c r="C55" s="162" t="s">
        <v>102</v>
      </c>
      <c r="D55" s="221">
        <v>1</v>
      </c>
      <c r="E55" s="365">
        <f>COUNTIF($C$4:$C$31,"TODY")+COUNTIF($H$4:$H$31,"TODY")+COUNTIF($I$4:$I$31,"TODY")+COUNTIF($F$4:$F$31,"TODY")+D64+COUNTIF($K$4:$K$31,"TODY")</f>
        <v>11</v>
      </c>
      <c r="F55" s="365">
        <f>COUNTIF($D$4:$D$31,"TODY")+COUNTIF($H$4:$H$31,"TODY")+COUNTIF($G$4:$G$31,"TODY")</f>
        <v>2</v>
      </c>
      <c r="G55" s="365">
        <f>COUNTIF($E$4:$E$31,"TODY")</f>
        <v>2</v>
      </c>
      <c r="H55" s="365"/>
      <c r="I55" s="162"/>
      <c r="J55" s="162">
        <f t="shared" si="0"/>
        <v>34.200000000000003</v>
      </c>
      <c r="K55" s="237">
        <f t="shared" si="1"/>
        <v>148.19999999999999</v>
      </c>
      <c r="L55" s="162">
        <f t="shared" si="4"/>
        <v>162</v>
      </c>
      <c r="M55" s="238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162" t="s">
        <v>168</v>
      </c>
      <c r="D56" s="221">
        <v>1</v>
      </c>
      <c r="E56" s="365">
        <f>COUNTIF($C$4:$C$31,"RODRIGUE")+COUNTIF($H$4:$H$31,"RODRIGUE")+COUNTIF($I$4:$I$31,"RODRIGUE")+COUNTIF($F$4:$F$31,"RODRIGUE")+D65+COUNTIF($K$4:$K$31,"RODRIGUE")</f>
        <v>6</v>
      </c>
      <c r="F56" s="365">
        <f>COUNTIF($D$4:$D$31,"RODRIGUE")+COUNTIF($H$4:$H$31,"RODRIGUE")+COUNTIF($G$4:$G$31,"RODRIGUE")</f>
        <v>3</v>
      </c>
      <c r="G56" s="365">
        <f>COUNTIF($E$4:$E$31,"RODRIGUE")</f>
        <v>2</v>
      </c>
      <c r="H56" s="365"/>
      <c r="I56" s="162"/>
      <c r="J56" s="162">
        <f>ROUND(D56*(9*(12/7))-(D56*(I56*1.8)),1)</f>
        <v>15.4</v>
      </c>
      <c r="K56" s="237">
        <f>ROUND(D56*(39*(12/7))-(I56*7.8),1)</f>
        <v>66.900000000000006</v>
      </c>
      <c r="L56" s="162">
        <f t="shared" si="4"/>
        <v>126</v>
      </c>
      <c r="M56" s="238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241"/>
      <c r="E57" s="100"/>
      <c r="F57" s="100"/>
      <c r="G57" s="100"/>
      <c r="H57" s="100"/>
      <c r="I57" s="31"/>
      <c r="J57" s="31"/>
      <c r="K57" s="242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opLeftCell="D5" zoomScale="111" zoomScaleNormal="111" workbookViewId="0">
      <selection activeCell="C28" sqref="C28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7.125" style="1"/>
    <col min="9" max="9" width="14.875" style="1" customWidth="1"/>
    <col min="10" max="10" width="14" style="1" customWidth="1"/>
    <col min="11" max="11" width="14.125" style="243" customWidth="1"/>
    <col min="13" max="13" width="12.375" style="244" customWidth="1"/>
    <col min="14" max="14" width="10" style="244" customWidth="1"/>
    <col min="15" max="15" width="8" style="244" customWidth="1"/>
    <col min="16" max="18" width="10.625" style="1" customWidth="1"/>
    <col min="19" max="16384" width="17.125" style="1"/>
  </cols>
  <sheetData>
    <row r="1" spans="1:20" ht="15" customHeight="1">
      <c r="A1" s="367" t="s">
        <v>174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"/>
      <c r="Q1" s="3"/>
      <c r="R1" s="3"/>
      <c r="S1" s="3"/>
      <c r="T1" s="3"/>
    </row>
    <row r="2" spans="1:20" ht="12" customHeight="1">
      <c r="A2" s="3"/>
      <c r="B2" s="3"/>
      <c r="C2" s="368" t="s">
        <v>1</v>
      </c>
      <c r="D2" s="368"/>
      <c r="E2" s="4" t="s">
        <v>2</v>
      </c>
      <c r="F2" s="369" t="s">
        <v>3</v>
      </c>
      <c r="G2" s="369"/>
      <c r="H2" s="5"/>
      <c r="I2" s="5"/>
      <c r="J2" s="5"/>
      <c r="K2" s="6"/>
      <c r="L2" s="370" t="s">
        <v>4</v>
      </c>
      <c r="M2" s="370"/>
      <c r="N2" s="370"/>
      <c r="O2" s="370"/>
      <c r="P2" s="3"/>
      <c r="Q2" s="3"/>
      <c r="R2" s="3"/>
      <c r="S2" s="3"/>
      <c r="T2" s="3"/>
    </row>
    <row r="3" spans="1:20" s="245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</row>
    <row r="4" spans="1:20" ht="13.5" customHeight="1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6" t="s">
        <v>23</v>
      </c>
      <c r="I4" s="190" t="s">
        <v>28</v>
      </c>
      <c r="J4" s="27" t="s">
        <v>36</v>
      </c>
      <c r="K4" s="51" t="s">
        <v>48</v>
      </c>
      <c r="L4" s="172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2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2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2"/>
      <c r="K7" s="28"/>
      <c r="L7" s="172" t="s">
        <v>175</v>
      </c>
      <c r="M7" s="172"/>
      <c r="N7" s="49"/>
      <c r="O7" s="34"/>
      <c r="P7" s="3"/>
      <c r="Q7" s="3"/>
      <c r="R7" s="3"/>
      <c r="S7" s="3"/>
      <c r="T7" s="3"/>
    </row>
    <row r="8" spans="1:20" ht="12" customHeight="1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3" t="s">
        <v>136</v>
      </c>
      <c r="I8" s="51" t="s">
        <v>29</v>
      </c>
      <c r="J8" s="33"/>
      <c r="K8" s="28"/>
      <c r="L8" s="172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>
      <c r="A9" s="247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7" t="s">
        <v>46</v>
      </c>
      <c r="J9" s="138"/>
      <c r="K9" s="43"/>
      <c r="L9" s="248" t="s">
        <v>177</v>
      </c>
      <c r="M9" s="44" t="s">
        <v>176</v>
      </c>
      <c r="N9" s="178"/>
      <c r="O9" s="44"/>
      <c r="P9" s="3"/>
      <c r="Q9" s="3"/>
      <c r="R9" s="3"/>
      <c r="S9" s="3"/>
    </row>
    <row r="10" spans="1:20" ht="12" customHeight="1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9" t="s">
        <v>29</v>
      </c>
      <c r="I10" s="132" t="s">
        <v>32</v>
      </c>
      <c r="J10" s="138"/>
      <c r="K10" s="43"/>
      <c r="L10" s="248" t="s">
        <v>177</v>
      </c>
      <c r="M10" s="44" t="s">
        <v>176</v>
      </c>
      <c r="N10" s="178"/>
      <c r="O10" s="44"/>
      <c r="P10" s="3"/>
      <c r="Q10" s="3"/>
      <c r="R10" s="3"/>
      <c r="S10" s="3"/>
    </row>
    <row r="11" spans="1:20" ht="12" customHeight="1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9" t="s">
        <v>178</v>
      </c>
      <c r="I11" s="51" t="s">
        <v>168</v>
      </c>
      <c r="J11" s="33"/>
      <c r="K11" s="33" t="s">
        <v>20</v>
      </c>
      <c r="L11" s="250" t="s">
        <v>179</v>
      </c>
      <c r="M11" s="44" t="s">
        <v>176</v>
      </c>
      <c r="N11" s="181"/>
      <c r="O11" s="34"/>
      <c r="P11" s="3"/>
      <c r="Q11" s="3"/>
      <c r="R11" s="3"/>
      <c r="S11" s="3"/>
    </row>
    <row r="12" spans="1:20" ht="12" customHeight="1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50" t="s">
        <v>179</v>
      </c>
      <c r="M12" s="44" t="s">
        <v>176</v>
      </c>
      <c r="N12" s="181"/>
      <c r="O12" s="34"/>
      <c r="P12" s="3"/>
      <c r="Q12" s="3"/>
      <c r="R12" s="3"/>
      <c r="S12" s="3"/>
    </row>
    <row r="13" spans="1:20" ht="12" customHeight="1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50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>
      <c r="A14" s="251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50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50" t="s">
        <v>179</v>
      </c>
      <c r="M15" s="44" t="s">
        <v>176</v>
      </c>
      <c r="N15" s="181"/>
      <c r="O15" s="34"/>
      <c r="P15" s="3"/>
      <c r="Q15" s="3"/>
      <c r="R15" s="3"/>
      <c r="S15" s="3"/>
    </row>
    <row r="16" spans="1:20" ht="12.75" customHeight="1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8"/>
      <c r="K16" s="43"/>
      <c r="L16" s="252" t="s">
        <v>180</v>
      </c>
      <c r="M16" s="44" t="s">
        <v>176</v>
      </c>
      <c r="N16" s="135"/>
      <c r="O16" s="44"/>
    </row>
    <row r="17" spans="1:19" ht="12.75" customHeight="1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9" t="s">
        <v>48</v>
      </c>
      <c r="I17" s="132" t="s">
        <v>32</v>
      </c>
      <c r="J17" s="138"/>
      <c r="K17" s="43"/>
      <c r="L17" s="252" t="s">
        <v>180</v>
      </c>
      <c r="M17" s="44" t="s">
        <v>176</v>
      </c>
      <c r="N17" s="135"/>
      <c r="O17" s="44"/>
    </row>
    <row r="18" spans="1:19" ht="12.75" customHeight="1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26" t="s">
        <v>22</v>
      </c>
      <c r="G18" s="326" t="s">
        <v>22</v>
      </c>
      <c r="H18" s="246" t="s">
        <v>32</v>
      </c>
      <c r="I18" s="51" t="s">
        <v>102</v>
      </c>
      <c r="J18" s="33"/>
      <c r="K18" s="33" t="s">
        <v>20</v>
      </c>
      <c r="L18" s="180" t="s">
        <v>181</v>
      </c>
      <c r="M18" s="44" t="s">
        <v>176</v>
      </c>
      <c r="N18" s="28"/>
      <c r="O18" s="34"/>
      <c r="Q18" s="253"/>
    </row>
    <row r="19" spans="1:19" ht="12.75" customHeight="1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80" t="s">
        <v>181</v>
      </c>
      <c r="M19" s="44" t="s">
        <v>176</v>
      </c>
      <c r="N19" s="28"/>
      <c r="O19" s="34"/>
    </row>
    <row r="20" spans="1:19" ht="12.75" customHeight="1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80" t="s">
        <v>181</v>
      </c>
      <c r="M20" s="44" t="s">
        <v>176</v>
      </c>
      <c r="N20" s="28"/>
      <c r="O20" s="34"/>
    </row>
    <row r="21" spans="1:19" ht="12.75" customHeight="1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4" t="s">
        <v>48</v>
      </c>
      <c r="J21" s="62"/>
      <c r="K21" s="33" t="s">
        <v>20</v>
      </c>
      <c r="L21" s="180" t="s">
        <v>181</v>
      </c>
      <c r="M21" s="44" t="s">
        <v>176</v>
      </c>
      <c r="N21" s="28"/>
      <c r="O21" s="34"/>
      <c r="Q21" s="253"/>
    </row>
    <row r="22" spans="1:19" ht="12.75" customHeight="1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80" t="s">
        <v>181</v>
      </c>
      <c r="M22" s="44" t="s">
        <v>176</v>
      </c>
      <c r="N22" s="28"/>
      <c r="O22" s="34"/>
    </row>
    <row r="23" spans="1:19" ht="12.75" customHeight="1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8"/>
      <c r="K23" s="43"/>
      <c r="L23" s="55" t="s">
        <v>23</v>
      </c>
      <c r="M23" s="44" t="s">
        <v>176</v>
      </c>
      <c r="N23" s="135"/>
      <c r="O23" s="44"/>
    </row>
    <row r="24" spans="1:19" ht="12.75" customHeight="1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9" t="s">
        <v>32</v>
      </c>
      <c r="I24" s="177" t="s">
        <v>119</v>
      </c>
      <c r="J24" s="138"/>
      <c r="K24" s="43"/>
      <c r="L24" s="55" t="s">
        <v>23</v>
      </c>
      <c r="M24" s="44" t="s">
        <v>176</v>
      </c>
      <c r="N24" s="135"/>
      <c r="O24" s="44"/>
    </row>
    <row r="25" spans="1:19" ht="12.75" customHeight="1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26" t="s">
        <v>22</v>
      </c>
      <c r="J25" s="48"/>
      <c r="K25" s="32" t="s">
        <v>48</v>
      </c>
      <c r="L25" s="180" t="s">
        <v>182</v>
      </c>
      <c r="M25" s="30"/>
      <c r="N25" s="28"/>
      <c r="O25" s="34"/>
    </row>
    <row r="26" spans="1:19" ht="13.5" customHeight="1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30" t="s">
        <v>44</v>
      </c>
      <c r="L26" s="180" t="s">
        <v>182</v>
      </c>
      <c r="M26" s="30"/>
      <c r="N26" s="28"/>
      <c r="O26" s="34"/>
    </row>
    <row r="27" spans="1:19" ht="12.75" customHeight="1">
      <c r="A27" s="21" t="s">
        <v>30</v>
      </c>
      <c r="B27" s="22">
        <v>45895</v>
      </c>
      <c r="C27" s="255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3"/>
      <c r="I27" s="204" t="s">
        <v>136</v>
      </c>
      <c r="J27" s="33"/>
      <c r="K27" s="33" t="s">
        <v>20</v>
      </c>
      <c r="L27" s="180" t="s">
        <v>182</v>
      </c>
      <c r="M27" s="30"/>
      <c r="N27" s="28"/>
      <c r="O27" s="34"/>
    </row>
    <row r="28" spans="1:19" ht="12.75" customHeight="1">
      <c r="A28" s="22" t="s">
        <v>33</v>
      </c>
      <c r="B28" s="22">
        <v>45896</v>
      </c>
      <c r="C28" s="330" t="s">
        <v>168</v>
      </c>
      <c r="D28" s="32" t="s">
        <v>28</v>
      </c>
      <c r="E28" s="51" t="s">
        <v>102</v>
      </c>
      <c r="F28" s="326" t="s">
        <v>22</v>
      </c>
      <c r="G28" s="326" t="s">
        <v>22</v>
      </c>
      <c r="H28" s="153"/>
      <c r="I28" s="190" t="s">
        <v>28</v>
      </c>
      <c r="J28" s="184"/>
      <c r="K28" s="32" t="s">
        <v>48</v>
      </c>
      <c r="L28" s="180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>
      <c r="A29" s="21" t="s">
        <v>35</v>
      </c>
      <c r="B29" s="22">
        <v>45897</v>
      </c>
      <c r="C29" s="33" t="s">
        <v>20</v>
      </c>
      <c r="D29" s="33" t="s">
        <v>36</v>
      </c>
      <c r="E29" s="51" t="s">
        <v>102</v>
      </c>
      <c r="F29" s="51" t="s">
        <v>32</v>
      </c>
      <c r="G29" s="51" t="s">
        <v>168</v>
      </c>
      <c r="H29" s="153"/>
      <c r="I29" s="233" t="s">
        <v>136</v>
      </c>
      <c r="J29" s="332"/>
      <c r="K29" s="330" t="s">
        <v>44</v>
      </c>
      <c r="L29" s="180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>
      <c r="A30" s="37" t="s">
        <v>41</v>
      </c>
      <c r="B30" s="38">
        <v>45898</v>
      </c>
      <c r="C30" s="54" t="s">
        <v>34</v>
      </c>
      <c r="D30" s="54" t="s">
        <v>34</v>
      </c>
      <c r="E30" s="177" t="s">
        <v>46</v>
      </c>
      <c r="F30" s="54" t="s">
        <v>37</v>
      </c>
      <c r="G30" s="254" t="s">
        <v>48</v>
      </c>
      <c r="H30" s="41"/>
      <c r="I30" s="177" t="s">
        <v>119</v>
      </c>
      <c r="J30" s="138"/>
      <c r="K30" s="43"/>
      <c r="L30" s="185" t="s">
        <v>183</v>
      </c>
      <c r="M30" s="44"/>
      <c r="N30" s="135"/>
      <c r="O30" s="44"/>
      <c r="P30" s="3"/>
      <c r="Q30" s="3"/>
      <c r="R30" s="3"/>
      <c r="S30" s="3"/>
    </row>
    <row r="31" spans="1:19" ht="12.75" customHeight="1">
      <c r="A31" s="37" t="s">
        <v>43</v>
      </c>
      <c r="B31" s="38">
        <v>45899</v>
      </c>
      <c r="C31" s="54" t="s">
        <v>27</v>
      </c>
      <c r="D31" s="54" t="s">
        <v>27</v>
      </c>
      <c r="E31" s="132" t="s">
        <v>32</v>
      </c>
      <c r="F31" s="54" t="s">
        <v>36</v>
      </c>
      <c r="G31" s="54" t="s">
        <v>36</v>
      </c>
      <c r="H31" s="249" t="s">
        <v>22</v>
      </c>
      <c r="I31" s="58" t="s">
        <v>21</v>
      </c>
      <c r="J31" s="138"/>
      <c r="K31" s="43"/>
      <c r="L31" s="185" t="s">
        <v>183</v>
      </c>
      <c r="M31" s="44"/>
      <c r="N31" s="135"/>
      <c r="O31" s="44"/>
      <c r="P31" s="3"/>
      <c r="Q31" s="3"/>
      <c r="R31" s="3"/>
      <c r="S31" s="3"/>
    </row>
    <row r="32" spans="1:19" ht="12" customHeight="1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9" t="s">
        <v>184</v>
      </c>
      <c r="I32" s="32" t="s">
        <v>28</v>
      </c>
      <c r="J32" s="33"/>
      <c r="K32" s="33" t="s">
        <v>20</v>
      </c>
      <c r="L32" s="180" t="s">
        <v>185</v>
      </c>
      <c r="M32" s="30"/>
      <c r="N32" s="28"/>
      <c r="O32" s="34"/>
      <c r="P32" s="3"/>
      <c r="Q32" s="3"/>
      <c r="R32" s="3"/>
    </row>
    <row r="33" spans="1:18" ht="12" customHeight="1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80" t="s">
        <v>185</v>
      </c>
      <c r="M33" s="30"/>
      <c r="N33" s="28"/>
      <c r="O33" s="34"/>
      <c r="P33" s="3"/>
      <c r="Q33" s="3"/>
      <c r="R33" s="3"/>
    </row>
    <row r="34" spans="1:18" ht="12" customHeight="1">
      <c r="A34" s="21" t="s">
        <v>30</v>
      </c>
      <c r="B34" s="22">
        <v>45902</v>
      </c>
      <c r="C34" s="255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80"/>
      <c r="M34" s="30"/>
      <c r="N34" s="28"/>
      <c r="O34" s="34"/>
      <c r="P34" s="3"/>
      <c r="Q34" s="3"/>
      <c r="R34" s="3"/>
    </row>
    <row r="35" spans="1:18" ht="12" customHeight="1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80"/>
      <c r="M35" s="30"/>
      <c r="N35" s="28"/>
      <c r="O35" s="34"/>
      <c r="P35" s="3"/>
      <c r="Q35" s="3"/>
      <c r="R35" s="3"/>
    </row>
    <row r="36" spans="1:18" ht="12" customHeight="1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26" t="s">
        <v>22</v>
      </c>
      <c r="H36" s="36"/>
      <c r="I36" s="51" t="s">
        <v>102</v>
      </c>
      <c r="J36" s="52"/>
      <c r="K36" s="326" t="s">
        <v>22</v>
      </c>
      <c r="L36" s="180"/>
      <c r="M36" s="30"/>
      <c r="N36" s="28"/>
      <c r="O36" s="34"/>
      <c r="P36" s="3"/>
      <c r="Q36" s="3"/>
      <c r="R36" s="3"/>
    </row>
    <row r="37" spans="1:18" ht="12" customHeight="1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8"/>
      <c r="K37" s="43"/>
      <c r="L37" s="185" t="s">
        <v>75</v>
      </c>
      <c r="M37" s="44"/>
      <c r="N37" s="135"/>
      <c r="O37" s="44"/>
      <c r="P37" s="3"/>
      <c r="Q37" s="3"/>
      <c r="R37" s="3"/>
    </row>
    <row r="38" spans="1:18" ht="12" customHeight="1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9" t="s">
        <v>44</v>
      </c>
      <c r="I38" s="132" t="s">
        <v>32</v>
      </c>
      <c r="J38" s="138"/>
      <c r="K38" s="43"/>
      <c r="L38" s="185" t="s">
        <v>75</v>
      </c>
      <c r="M38" s="44"/>
      <c r="N38" s="135"/>
      <c r="O38" s="44"/>
      <c r="P38" s="3"/>
      <c r="Q38" s="3"/>
      <c r="R38" s="3"/>
    </row>
    <row r="39" spans="1:18" ht="12" customHeight="1">
      <c r="A39" s="73"/>
      <c r="B39" s="73"/>
      <c r="C39" s="73"/>
      <c r="D39" s="73"/>
      <c r="E39" s="73"/>
      <c r="F39" s="245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70"/>
      <c r="O40" s="370"/>
      <c r="P40" s="3"/>
    </row>
    <row r="41" spans="1:18" ht="12" customHeight="1">
      <c r="A41" s="73"/>
      <c r="B41" s="73"/>
      <c r="C41" s="73"/>
      <c r="D41" s="79" t="s">
        <v>58</v>
      </c>
      <c r="E41" s="79" t="s">
        <v>59</v>
      </c>
      <c r="F41" s="80" t="s">
        <v>60</v>
      </c>
      <c r="G41" s="81" t="s">
        <v>61</v>
      </c>
      <c r="H41" s="79" t="s">
        <v>62</v>
      </c>
      <c r="I41" s="366" t="s">
        <v>64</v>
      </c>
      <c r="J41" s="366" t="s">
        <v>65</v>
      </c>
      <c r="K41" s="77" t="s">
        <v>66</v>
      </c>
      <c r="L41" s="366" t="s">
        <v>67</v>
      </c>
      <c r="M41" s="366" t="s">
        <v>68</v>
      </c>
      <c r="N41" s="98"/>
      <c r="O41" s="73"/>
    </row>
    <row r="42" spans="1:18" ht="12.75" customHeight="1">
      <c r="A42" s="73"/>
      <c r="B42" s="73"/>
      <c r="C42" s="161" t="s">
        <v>38</v>
      </c>
      <c r="D42" s="236">
        <v>1</v>
      </c>
      <c r="E42" s="365">
        <f>COUNTIF($C$4:$C$38,"BOULAT")+COUNTIF($F$4:$F$38,"BOULAT")+COUNTIF($I$4:$I$38,"BOULAT")+COUNTIF($K$4:$K$38,"BOULAT")</f>
        <v>8</v>
      </c>
      <c r="F42" s="365">
        <f>COUNTIF($D$4:$D$38,"BOULAT")+COUNTIF($G$4:$G$38,"BOULAT")</f>
        <v>6</v>
      </c>
      <c r="G42" s="365">
        <f>COUNTIF($E$4:$E$38,"BOULAT")</f>
        <v>0</v>
      </c>
      <c r="H42" s="161"/>
      <c r="I42" s="365">
        <v>5</v>
      </c>
      <c r="J42" s="162">
        <f t="shared" ref="J42:J61" si="0">D42*((9*$D$40)-($F$40*9/5))-(D42*(I42*1.8))</f>
        <v>36</v>
      </c>
      <c r="K42" s="256">
        <f t="shared" ref="K42:K61" si="1">D42*((39*$D$40)-($F$40*39/5))-(I42*7.8)</f>
        <v>156</v>
      </c>
      <c r="L42" s="162">
        <f>E42*10+F42*14+G42*12+H42*10</f>
        <v>164</v>
      </c>
      <c r="M42" s="238">
        <f t="shared" ref="M42:M61" si="2">L42-K42</f>
        <v>8</v>
      </c>
      <c r="N42" s="31"/>
      <c r="O42" s="72"/>
    </row>
    <row r="43" spans="1:18" ht="12" customHeight="1">
      <c r="A43" s="73"/>
      <c r="B43" s="73"/>
      <c r="C43" s="161" t="s">
        <v>36</v>
      </c>
      <c r="D43" s="236">
        <v>1</v>
      </c>
      <c r="E43" s="365">
        <f>COUNTIF($C$4:$C$38,"BRUGIROUX")+COUNTIF($F$4:$F$38,"BRUGIROUX")+COUNTIF($I$4:$I$38,"BRUGIROUX")+COUNTIF($K$4:$K$38,"BRUGIROUX")</f>
        <v>7</v>
      </c>
      <c r="F43" s="365">
        <f>COUNTIF($D$4:$D$38,"BRUGIROUX")+COUNTIF($G$4:$G$38,"BRUGIROUX")</f>
        <v>10</v>
      </c>
      <c r="G43" s="365">
        <f>COUNTIF($E$4:$E$38,"BRUGIROUX")</f>
        <v>0</v>
      </c>
      <c r="H43" s="161">
        <v>1</v>
      </c>
      <c r="I43" s="365">
        <v>2</v>
      </c>
      <c r="J43" s="162">
        <f t="shared" si="0"/>
        <v>41.4</v>
      </c>
      <c r="K43" s="256">
        <f t="shared" si="1"/>
        <v>179.4</v>
      </c>
      <c r="L43" s="162">
        <f>E43*10+F43*14+G43*12+H43*10</f>
        <v>220</v>
      </c>
      <c r="M43" s="238">
        <f t="shared" si="2"/>
        <v>40.599999999999994</v>
      </c>
      <c r="N43" s="31"/>
      <c r="O43" s="72"/>
    </row>
    <row r="44" spans="1:18" ht="12" customHeight="1">
      <c r="A44" s="73"/>
      <c r="B44" s="73"/>
      <c r="C44" s="161" t="s">
        <v>21</v>
      </c>
      <c r="D44" s="239">
        <v>0.5</v>
      </c>
      <c r="E44" s="365">
        <f>COUNTIF($C$4:$C$38,"CAUVY")+COUNTIF($F$4:$F$38,"CAUVY")+COUNTIF($I$4:$I$38,"CAUVY")+COUNTIF($K$4:$K$38,"CAUVY")</f>
        <v>2</v>
      </c>
      <c r="F44" s="365">
        <f>COUNTIF($D$4:$D$38,"CAUVY")+COUNTIF($G$4:$G$38,"CAUVY")</f>
        <v>0</v>
      </c>
      <c r="G44" s="365">
        <f>COUNTIF($E$4:$E$38,"CAUVY")</f>
        <v>1</v>
      </c>
      <c r="H44" s="365"/>
      <c r="I44" s="365">
        <v>5</v>
      </c>
      <c r="J44" s="162">
        <f t="shared" si="0"/>
        <v>18</v>
      </c>
      <c r="K44" s="256">
        <f t="shared" si="1"/>
        <v>58.5</v>
      </c>
      <c r="L44" s="162">
        <f>E44*10+F44*14+G44*12</f>
        <v>32</v>
      </c>
      <c r="M44" s="240">
        <f t="shared" si="2"/>
        <v>-26.5</v>
      </c>
      <c r="N44" s="31"/>
      <c r="O44" s="72"/>
    </row>
    <row r="45" spans="1:18" ht="12" customHeight="1">
      <c r="A45" s="73"/>
      <c r="B45" s="73"/>
      <c r="C45" s="161" t="s">
        <v>31</v>
      </c>
      <c r="D45" s="239">
        <v>0.8</v>
      </c>
      <c r="E45" s="365">
        <f>COUNTIF($C$4:$C$38,"FONTAINE")+COUNTIF($F$4:$F$38,"FONTAINE")+COUNTIF($I$4:$I$38,"FONTAINE")+COUNTIF($K$4:$K$38,"FONTAINE")</f>
        <v>5</v>
      </c>
      <c r="F45" s="365">
        <f>COUNTIF($D$4:$D$38,"FONTAINE")+COUNTIF($G$4:$G$38,"FONTAINE")</f>
        <v>4</v>
      </c>
      <c r="G45" s="365">
        <f>COUNTIF($E$4:$E$38,"FONTAINE")</f>
        <v>1</v>
      </c>
      <c r="H45" s="161"/>
      <c r="I45" s="365">
        <v>6.4</v>
      </c>
      <c r="J45" s="162">
        <f t="shared" si="0"/>
        <v>26.783999999999999</v>
      </c>
      <c r="K45" s="256">
        <f t="shared" si="1"/>
        <v>106.08</v>
      </c>
      <c r="L45" s="162">
        <f t="shared" ref="L45:L61" si="3">E45*10+F45*14+G45*12+H45*10</f>
        <v>118</v>
      </c>
      <c r="M45" s="238">
        <f t="shared" si="2"/>
        <v>11.920000000000002</v>
      </c>
      <c r="N45" s="31"/>
      <c r="O45" s="72"/>
    </row>
    <row r="46" spans="1:18" ht="12" customHeight="1">
      <c r="A46" s="3"/>
      <c r="B46" s="3"/>
      <c r="C46" s="162" t="s">
        <v>28</v>
      </c>
      <c r="D46" s="221">
        <v>0.6</v>
      </c>
      <c r="E46" s="365">
        <f>COUNTIF($C$4:$C$38,"KANTCHE")+COUNTIF($F$4:$F$38,"KANTCHE")+COUNTIF($I$4:$I$38,"KANTCHE")+COUNTIF($K$4:$K$38,"KANTCHE")</f>
        <v>5</v>
      </c>
      <c r="F46" s="365">
        <f>COUNTIF($D$4:$D$38,"KANTCHE")+COUNTIF($G$4:$G$38,"KANTCHE")</f>
        <v>1</v>
      </c>
      <c r="G46" s="365">
        <f>COUNTIF($E$4:$E$38,"KANTCHE")</f>
        <v>1</v>
      </c>
      <c r="H46" s="162"/>
      <c r="I46" s="162">
        <v>6.6</v>
      </c>
      <c r="J46" s="162">
        <f t="shared" si="0"/>
        <v>19.872</v>
      </c>
      <c r="K46" s="256">
        <f t="shared" si="1"/>
        <v>65.52000000000001</v>
      </c>
      <c r="L46" s="162">
        <f t="shared" si="3"/>
        <v>76</v>
      </c>
      <c r="M46" s="238">
        <f t="shared" si="2"/>
        <v>10.47999999999999</v>
      </c>
      <c r="N46" s="31"/>
      <c r="O46" s="72"/>
    </row>
    <row r="47" spans="1:18" ht="12" customHeight="1">
      <c r="A47" s="3"/>
      <c r="B47" s="3"/>
      <c r="C47" s="162" t="s">
        <v>42</v>
      </c>
      <c r="D47" s="221">
        <v>1</v>
      </c>
      <c r="E47" s="365">
        <f>COUNTIF($C$4:$C$38,"ORIOLI")+COUNTIF($F$4:$F$38,"ORIOLI")+COUNTIF($I$4:$I$38,"ORIOLI")+COUNTIF($K$4:$K$38,"ORIOLI")</f>
        <v>7</v>
      </c>
      <c r="F47" s="365">
        <f>COUNTIF($D$4:$D$38,"ORIOLI")+COUNTIF($G$4:$G$38,"ORIOLI")</f>
        <v>7</v>
      </c>
      <c r="G47" s="365">
        <f>COUNTIF($E$4:$E$38,"ORIOLI")</f>
        <v>0</v>
      </c>
      <c r="H47" s="162"/>
      <c r="I47" s="162"/>
      <c r="J47" s="162">
        <f t="shared" si="0"/>
        <v>45</v>
      </c>
      <c r="K47" s="256">
        <f t="shared" si="1"/>
        <v>195</v>
      </c>
      <c r="L47" s="162">
        <f t="shared" si="3"/>
        <v>168</v>
      </c>
      <c r="M47" s="240">
        <f t="shared" si="2"/>
        <v>-27</v>
      </c>
      <c r="N47" s="31"/>
      <c r="O47" s="72"/>
    </row>
    <row r="48" spans="1:18" ht="12" customHeight="1">
      <c r="A48" s="3"/>
      <c r="B48" s="3"/>
      <c r="C48" s="162" t="s">
        <v>47</v>
      </c>
      <c r="D48" s="221">
        <v>0.5</v>
      </c>
      <c r="E48" s="365">
        <f>COUNTIF($C$4:$C$38,"TKATCHOUK")+COUNTIF($F$4:$F$38,"TKATCHOUK")+COUNTIF($I$4:$I$38,"TKATCHOUK")+COUNTIF($K$4:$K$38,"TKATCHOUK")</f>
        <v>0</v>
      </c>
      <c r="F48" s="365">
        <f>COUNTIF($D$4:$D$38,"TKATCHOUK")+COUNTIF($G$4:$G$38,"TKATCHOUK")</f>
        <v>0</v>
      </c>
      <c r="G48" s="365">
        <f>COUNTIF($E$4:$E$38,"TKATCHOUK")</f>
        <v>10</v>
      </c>
      <c r="H48" s="162"/>
      <c r="I48" s="162"/>
      <c r="J48" s="162">
        <f t="shared" si="0"/>
        <v>22.5</v>
      </c>
      <c r="K48" s="256">
        <f t="shared" si="1"/>
        <v>97.5</v>
      </c>
      <c r="L48" s="162">
        <f t="shared" si="3"/>
        <v>120</v>
      </c>
      <c r="M48" s="238">
        <f t="shared" si="2"/>
        <v>22.5</v>
      </c>
      <c r="N48" s="31"/>
      <c r="O48" s="72"/>
    </row>
    <row r="49" spans="1:15" ht="12.75" customHeight="1">
      <c r="A49" s="3"/>
      <c r="B49" s="3"/>
      <c r="C49" s="162" t="s">
        <v>20</v>
      </c>
      <c r="D49" s="221">
        <v>1</v>
      </c>
      <c r="E49" s="365">
        <f>COUNTIF($C$4:$C$38,"TORREGROSSA")+COUNTIF($F$4:$F$38,"TORREGROSSA")+COUNTIF($K$4:$K$38,"TORREGROSSA")+COUNTIF($I$4:$I$38,"TORREGROSSA")</f>
        <v>10</v>
      </c>
      <c r="F49" s="365">
        <f>COUNTIF($D$4:$D$38,"TORREGROSSA")+COUNTIF($G$4:$G$38,"TORREGROSSA")</f>
        <v>3</v>
      </c>
      <c r="G49" s="365">
        <f>COUNTIF($E$4:$E$38,"TORREGROSSA")</f>
        <v>0</v>
      </c>
      <c r="H49" s="365">
        <f>COUNTIF($J$4:$J$38,"TORREGROSSA")</f>
        <v>2</v>
      </c>
      <c r="I49" s="162">
        <v>6</v>
      </c>
      <c r="J49" s="162">
        <f t="shared" si="0"/>
        <v>34.200000000000003</v>
      </c>
      <c r="K49" s="256">
        <f t="shared" si="1"/>
        <v>148.19999999999999</v>
      </c>
      <c r="L49" s="162">
        <f t="shared" si="3"/>
        <v>162</v>
      </c>
      <c r="M49" s="238">
        <f t="shared" si="2"/>
        <v>13.800000000000011</v>
      </c>
      <c r="N49" s="31"/>
      <c r="O49" s="72"/>
    </row>
    <row r="50" spans="1:15" ht="12.75" customHeight="1">
      <c r="A50" s="3"/>
      <c r="B50" s="3"/>
      <c r="C50" s="162" t="s">
        <v>19</v>
      </c>
      <c r="D50" s="221">
        <v>0.4</v>
      </c>
      <c r="E50" s="365">
        <f>COUNTIF($C$4:$C$38,"BALLOT")+COUNTIF($F$4:$F$38,"BALLOT")+COUNTIF($I$4:$I$38,"BALLOT")+COUNTIF($K$4:$K$38,"BALLOT")</f>
        <v>1</v>
      </c>
      <c r="F50" s="365">
        <f>COUNTIF($D$4:$D$38,"BALLOT")+COUNTIF($G$4:$G$38,"BALLOT")</f>
        <v>0</v>
      </c>
      <c r="G50" s="365">
        <f>COUNTIF($E$4:$E$38,"BALLOT")</f>
        <v>2</v>
      </c>
      <c r="H50" s="365"/>
      <c r="I50" s="162">
        <v>2</v>
      </c>
      <c r="J50" s="162">
        <f t="shared" si="0"/>
        <v>16.559999999999999</v>
      </c>
      <c r="K50" s="256">
        <f t="shared" si="1"/>
        <v>62.4</v>
      </c>
      <c r="L50" s="162">
        <f t="shared" si="3"/>
        <v>34</v>
      </c>
      <c r="M50" s="240">
        <f t="shared" si="2"/>
        <v>-28.4</v>
      </c>
      <c r="N50" s="31"/>
      <c r="O50" s="72"/>
    </row>
    <row r="51" spans="1:15" ht="12" customHeight="1">
      <c r="A51" s="3"/>
      <c r="B51" s="3"/>
      <c r="C51" s="162" t="s">
        <v>37</v>
      </c>
      <c r="D51" s="221">
        <v>0.4</v>
      </c>
      <c r="E51" s="365">
        <f>COUNTIF($C$4:$C$38,"MOREL")+COUNTIF($F$4:$F$38,"MOREL")+COUNTIF($I$4:$I$38,"MOREL")+COUNTIF($K$4:$K$38,"MOREL")</f>
        <v>8</v>
      </c>
      <c r="F51" s="365">
        <f>COUNTIF($D$4:$D$38,"MOREL")+COUNTIF($G$4:$G$38,"MOREL")</f>
        <v>0</v>
      </c>
      <c r="G51" s="365">
        <f>COUNTIF($E$4:$E$38,"MOREL")</f>
        <v>0</v>
      </c>
      <c r="H51" s="365"/>
      <c r="I51" s="162"/>
      <c r="J51" s="162">
        <f t="shared" si="0"/>
        <v>18</v>
      </c>
      <c r="K51" s="256">
        <f t="shared" si="1"/>
        <v>78</v>
      </c>
      <c r="L51" s="162">
        <f t="shared" si="3"/>
        <v>80</v>
      </c>
      <c r="M51" s="238">
        <f t="shared" si="2"/>
        <v>2</v>
      </c>
      <c r="N51" s="31"/>
      <c r="O51" s="72"/>
    </row>
    <row r="52" spans="1:15" ht="12" customHeight="1">
      <c r="A52" s="3"/>
      <c r="B52" s="3"/>
      <c r="C52" s="162" t="s">
        <v>27</v>
      </c>
      <c r="D52" s="221">
        <v>0.8</v>
      </c>
      <c r="E52" s="365">
        <f>COUNTIF($C$4:$C$38,"RACHIDI")+COUNTIF($F$4:$F$38,"RACHIDI")+COUNTIF($I$4:$I$38,"RACHIDI")+COUNTIF($K$4:$K$38,"RACHIDI")</f>
        <v>6</v>
      </c>
      <c r="F52" s="365">
        <f>COUNTIF($D$4:$D$38,"RACHIDI")+COUNTIF($G$4:$G$38,"RACHIDI")</f>
        <v>8</v>
      </c>
      <c r="G52" s="365">
        <f>COUNTIF($E$4:$E$38,"RACHIDI")</f>
        <v>0</v>
      </c>
      <c r="H52" s="365"/>
      <c r="I52" s="162"/>
      <c r="J52" s="162">
        <f t="shared" si="0"/>
        <v>36</v>
      </c>
      <c r="K52" s="256">
        <f t="shared" si="1"/>
        <v>156</v>
      </c>
      <c r="L52" s="162">
        <f t="shared" si="3"/>
        <v>172</v>
      </c>
      <c r="M52" s="238">
        <f t="shared" si="2"/>
        <v>16</v>
      </c>
      <c r="N52" s="31"/>
      <c r="O52" s="72"/>
    </row>
    <row r="53" spans="1:15" ht="12" customHeight="1">
      <c r="A53" s="3"/>
      <c r="B53" s="3"/>
      <c r="C53" s="162" t="s">
        <v>34</v>
      </c>
      <c r="D53" s="221">
        <v>1</v>
      </c>
      <c r="E53" s="365">
        <f>COUNTIF($C$4:$C$38,"ZEBICHE")+COUNTIF($F$4:$F$38,"ZEBICHE")+COUNTIF($I$4:$I$38,"ZEBICHE")+COUNTIF($K$4:$K$38,"ZEBICHE")</f>
        <v>9</v>
      </c>
      <c r="F53" s="365">
        <f>COUNTIF($D$4:$D$38,"ZEBICHE")+COUNTIF($G$4:$G$38,"ZEBICHE")</f>
        <v>9</v>
      </c>
      <c r="G53" s="365">
        <f>COUNTIF($E$4:$E$38,"ZEBICHE")</f>
        <v>0</v>
      </c>
      <c r="H53" s="365"/>
      <c r="I53" s="162"/>
      <c r="J53" s="162">
        <f t="shared" si="0"/>
        <v>45</v>
      </c>
      <c r="K53" s="256">
        <f t="shared" si="1"/>
        <v>195</v>
      </c>
      <c r="L53" s="162">
        <f t="shared" si="3"/>
        <v>216</v>
      </c>
      <c r="M53" s="238">
        <f t="shared" si="2"/>
        <v>21</v>
      </c>
      <c r="N53" s="31"/>
      <c r="O53" s="72"/>
    </row>
    <row r="54" spans="1:15" ht="12" customHeight="1">
      <c r="A54" s="3"/>
      <c r="B54" s="3"/>
      <c r="C54" s="162" t="s">
        <v>22</v>
      </c>
      <c r="D54" s="221">
        <v>1</v>
      </c>
      <c r="E54" s="365">
        <f>COUNTIF($C$4:$C$38,"HACHIMI")+COUNTIF($F$4:$F$38,"HACHIMI")+COUNTIF($H$4:$H$38,"HACHIMI")+COUNTIF($I$4:$I$38,"HACHIMI")+H65+COUNTIF($K$4:$K$38,"HACHIMI")</f>
        <v>5</v>
      </c>
      <c r="F54" s="365">
        <v>5</v>
      </c>
      <c r="G54" s="365">
        <f>COUNTIF($E$4:$E$38,"HACHIMI")</f>
        <v>0</v>
      </c>
      <c r="H54" s="365"/>
      <c r="I54" s="162">
        <v>10</v>
      </c>
      <c r="J54" s="162">
        <f t="shared" si="0"/>
        <v>27</v>
      </c>
      <c r="K54" s="256">
        <f t="shared" si="1"/>
        <v>117</v>
      </c>
      <c r="L54" s="162">
        <f t="shared" si="3"/>
        <v>120</v>
      </c>
      <c r="M54" s="240">
        <f t="shared" si="2"/>
        <v>3</v>
      </c>
      <c r="N54" s="31"/>
      <c r="O54" s="72"/>
    </row>
    <row r="55" spans="1:15" ht="12" customHeight="1">
      <c r="A55" s="3"/>
      <c r="B55" s="3"/>
      <c r="C55" s="162" t="s">
        <v>29</v>
      </c>
      <c r="D55" s="221">
        <v>1</v>
      </c>
      <c r="E55" s="365">
        <f>COUNTIF($C$4:$C$38,"BIENDOUX")+COUNTIF($F$4:$F$38,"BIENDOUX")+COUNTIF($H$4:$H$38,"BIENDOUX")+COUNTIF($I$4:$I$38,"BIENDOUX")+H66+COUNTIF($K$4:$K$38,"BIENDOUX")</f>
        <v>14</v>
      </c>
      <c r="F55" s="365">
        <v>5</v>
      </c>
      <c r="G55" s="365">
        <f>COUNTIF($E$4:$E$38,"BIENDOUX")</f>
        <v>1</v>
      </c>
      <c r="H55" s="365"/>
      <c r="I55" s="162">
        <v>3</v>
      </c>
      <c r="J55" s="162">
        <f t="shared" si="0"/>
        <v>39.6</v>
      </c>
      <c r="K55" s="256">
        <f t="shared" si="1"/>
        <v>171.6</v>
      </c>
      <c r="L55" s="162">
        <f t="shared" si="3"/>
        <v>222</v>
      </c>
      <c r="M55" s="238">
        <f t="shared" si="2"/>
        <v>50.400000000000006</v>
      </c>
      <c r="N55" s="31"/>
      <c r="O55" s="72"/>
    </row>
    <row r="56" spans="1:15" ht="12" customHeight="1">
      <c r="A56" s="3"/>
      <c r="B56" s="3"/>
      <c r="C56" s="162" t="s">
        <v>48</v>
      </c>
      <c r="D56" s="221">
        <v>1</v>
      </c>
      <c r="E56" s="257">
        <f>COUNTIF($C$4:$C$38,"AFZAL")+COUNTIF($F$4:$F$38,"AFZAL")+COUNTIF($H$4:$H$38,"AFZAL")+COUNTIF($I$4:$I$38,"AFZAL")+H67+COUNTIF($K$4:$K$38,"AFZAL")</f>
        <v>10</v>
      </c>
      <c r="F56" s="365">
        <v>9</v>
      </c>
      <c r="G56" s="365">
        <f>COUNTIF($E$4:$E$38,"AFZAL")</f>
        <v>1</v>
      </c>
      <c r="H56" s="365"/>
      <c r="I56" s="162"/>
      <c r="J56" s="162">
        <f t="shared" si="0"/>
        <v>45</v>
      </c>
      <c r="K56" s="256">
        <f t="shared" si="1"/>
        <v>195</v>
      </c>
      <c r="L56" s="162">
        <f t="shared" si="3"/>
        <v>238</v>
      </c>
      <c r="M56" s="240">
        <f t="shared" si="2"/>
        <v>43</v>
      </c>
      <c r="N56" s="31"/>
      <c r="O56" s="72"/>
    </row>
    <row r="57" spans="1:15" ht="12" customHeight="1">
      <c r="A57" s="3"/>
      <c r="B57" s="3"/>
      <c r="C57" s="162" t="s">
        <v>44</v>
      </c>
      <c r="D57" s="221">
        <v>1</v>
      </c>
      <c r="E57" s="365">
        <v>8</v>
      </c>
      <c r="F57" s="365">
        <v>9</v>
      </c>
      <c r="G57" s="365">
        <f>COUNTIF($E$4:$E$38,"IBRAHIM")</f>
        <v>3</v>
      </c>
      <c r="H57" s="365"/>
      <c r="I57" s="258"/>
      <c r="J57" s="258">
        <f t="shared" si="0"/>
        <v>45</v>
      </c>
      <c r="K57" s="256">
        <f t="shared" si="1"/>
        <v>195</v>
      </c>
      <c r="L57" s="162">
        <f t="shared" si="3"/>
        <v>242</v>
      </c>
      <c r="M57" s="240">
        <f t="shared" si="2"/>
        <v>47</v>
      </c>
      <c r="N57" s="31"/>
      <c r="O57" s="72"/>
    </row>
    <row r="58" spans="1:15" ht="12" customHeight="1">
      <c r="A58" s="3"/>
      <c r="B58" s="3"/>
      <c r="C58" s="258" t="s">
        <v>23</v>
      </c>
      <c r="D58" s="259">
        <v>1</v>
      </c>
      <c r="E58" s="260">
        <f>COUNTIF($C$4:$C$38,"IMAD")+COUNTIF($F$4:$F$38,"IMAD")+COUNTIF($H$4:$H$38,"IMAD")+COUNTIF($I$4:$I$38,"IMAD")+H69+COUNTIF($K$4:$K$38,"IMAD")</f>
        <v>2</v>
      </c>
      <c r="F58" s="365">
        <f>COUNTIF($D$4:$D$38,"IMAD")+COUNTIF($H$4:$H$38,"IMAD")+COUNTIF($G$4:$G$38,"IMAD")</f>
        <v>3</v>
      </c>
      <c r="G58" s="365">
        <f>COUNTIF($E$4:$E$38,"IMAD")</f>
        <v>1</v>
      </c>
      <c r="H58" s="365"/>
      <c r="I58" s="162">
        <v>13</v>
      </c>
      <c r="J58" s="162">
        <f t="shared" si="0"/>
        <v>21.599999999999998</v>
      </c>
      <c r="K58" s="256">
        <f t="shared" si="1"/>
        <v>93.600000000000009</v>
      </c>
      <c r="L58" s="162">
        <f t="shared" si="3"/>
        <v>74</v>
      </c>
      <c r="M58" s="238">
        <f t="shared" si="2"/>
        <v>-19.600000000000009</v>
      </c>
      <c r="N58" s="31"/>
      <c r="O58" s="72"/>
    </row>
    <row r="59" spans="1:15" ht="12" customHeight="1">
      <c r="A59" s="3"/>
      <c r="B59" s="3"/>
      <c r="C59" s="162" t="s">
        <v>32</v>
      </c>
      <c r="D59" s="261">
        <v>1</v>
      </c>
      <c r="E59" s="365">
        <f>COUNTIF($C$4:$C$38,"RADO")+COUNTIF($F$4:$F$38,"RADO")+COUNTIF($H$4:$H$38,"RADO")+COUNTIF($I$4:$I$38,"RADO")+H70+COUNTIF($K$4:$K$38,"RADO")</f>
        <v>18</v>
      </c>
      <c r="F59" s="262">
        <f>COUNTIF($D$4:$D$38,"RADO")+COUNTIF($H$4:$H$38,"RADO")+COUNTIF($G$4:$G$38,"RADO")</f>
        <v>3</v>
      </c>
      <c r="G59" s="365">
        <f>COUNTIF($E$4:$E$38,"RADO")</f>
        <v>4</v>
      </c>
      <c r="H59" s="263"/>
      <c r="I59" s="162"/>
      <c r="J59" s="162">
        <f t="shared" si="0"/>
        <v>45</v>
      </c>
      <c r="K59" s="256">
        <f t="shared" si="1"/>
        <v>195</v>
      </c>
      <c r="L59" s="162">
        <f t="shared" si="3"/>
        <v>270</v>
      </c>
      <c r="M59" s="238">
        <f t="shared" si="2"/>
        <v>75</v>
      </c>
      <c r="N59" s="31"/>
      <c r="O59" s="72"/>
    </row>
    <row r="60" spans="1:15" ht="12" customHeight="1">
      <c r="A60" s="3"/>
      <c r="B60" s="3"/>
      <c r="C60" s="162" t="s">
        <v>102</v>
      </c>
      <c r="D60" s="261">
        <v>1</v>
      </c>
      <c r="E60" s="264">
        <f>COUNTIF($C$4:$C$38,"TODY")+COUNTIF($F$4:$F$38,"TODY")+COUNTIF($H$4:$H$38,"TODY")+COUNTIF($I$4:$I$38,"TODY")+H71+COUNTIF($K$4:$K$38,"TODY")</f>
        <v>13</v>
      </c>
      <c r="F60" s="262">
        <f>COUNTIF($D$4:$D$38,"TODY")+COUNTIF($H$4:$H$38,"TODY")+COUNTIF($G$4:$G$38,"TODY")</f>
        <v>3</v>
      </c>
      <c r="G60" s="365">
        <f>COUNTIF($E$4:$E$38,"TODY")</f>
        <v>4</v>
      </c>
      <c r="H60" s="263"/>
      <c r="I60" s="162"/>
      <c r="J60" s="162">
        <f t="shared" si="0"/>
        <v>45</v>
      </c>
      <c r="K60" s="256">
        <f t="shared" si="1"/>
        <v>195</v>
      </c>
      <c r="L60" s="162">
        <f t="shared" si="3"/>
        <v>220</v>
      </c>
      <c r="M60" s="240">
        <f t="shared" si="2"/>
        <v>25</v>
      </c>
      <c r="N60" s="31"/>
      <c r="O60" s="72"/>
    </row>
    <row r="61" spans="1:15" ht="12" customHeight="1">
      <c r="A61" s="3"/>
      <c r="B61" s="3"/>
      <c r="C61" s="162" t="s">
        <v>168</v>
      </c>
      <c r="D61" s="261">
        <v>1</v>
      </c>
      <c r="E61" s="264">
        <f>COUNTIF($C$4:$C$38,"RODRIGUE")+COUNTIF($F$4:$F$38,"RODRIGUE")+COUNTIF($H$4:$H$38,"RODRIGUE")+COUNTIF($I$4:$I$38,"RODRIGUE")+H72+COUNTIF($K$4:$K$38,"RODRIGUE")</f>
        <v>10</v>
      </c>
      <c r="F61" s="262">
        <f>COUNTIF($D$4:$D$38,"RODRIGUE")+COUNTIF($H$4:$H$38,"RODRIGUE")+COUNTIF($G$4:$G$38,"RODRIGUE")</f>
        <v>3</v>
      </c>
      <c r="G61" s="365">
        <f>COUNTIF($E$4:$E$38,"RODRIGUE")</f>
        <v>5</v>
      </c>
      <c r="H61" s="263"/>
      <c r="I61" s="162"/>
      <c r="J61" s="162">
        <f t="shared" si="0"/>
        <v>45</v>
      </c>
      <c r="K61" s="256">
        <f t="shared" si="1"/>
        <v>195</v>
      </c>
      <c r="L61" s="342">
        <f>E61*10+F61*14+G61*12+H61*10</f>
        <v>202</v>
      </c>
      <c r="M61" s="238">
        <f t="shared" si="2"/>
        <v>7</v>
      </c>
      <c r="N61" s="31"/>
      <c r="O61" s="72"/>
    </row>
    <row r="62" spans="1:15" ht="12" customHeight="1">
      <c r="A62" s="3"/>
      <c r="B62" s="3"/>
      <c r="C62" s="3"/>
      <c r="D62" s="265"/>
      <c r="E62" s="72"/>
      <c r="F62" s="72"/>
      <c r="G62" s="72"/>
      <c r="H62" s="72"/>
      <c r="I62" s="3"/>
      <c r="J62" s="3"/>
      <c r="K62" s="266"/>
      <c r="L62" s="3"/>
      <c r="M62" s="3"/>
      <c r="N62" s="3"/>
      <c r="O62" s="72"/>
    </row>
    <row r="63" spans="1:15" ht="12" customHeight="1">
      <c r="A63" s="3"/>
      <c r="B63" s="73"/>
      <c r="C63" s="371" t="s">
        <v>57</v>
      </c>
      <c r="D63" s="371"/>
      <c r="E63" s="371"/>
      <c r="F63" s="72"/>
      <c r="G63" s="72"/>
      <c r="I63" s="3"/>
      <c r="J63" s="3"/>
      <c r="K63" s="267"/>
      <c r="L63" s="3"/>
      <c r="M63" s="3"/>
      <c r="N63" s="3"/>
      <c r="O63" s="72"/>
    </row>
    <row r="64" spans="1:15" ht="12" customHeight="1">
      <c r="A64" s="3"/>
      <c r="B64" s="73"/>
      <c r="C64" s="268" t="s">
        <v>66</v>
      </c>
      <c r="D64" s="269" t="s">
        <v>67</v>
      </c>
      <c r="E64" s="270" t="s">
        <v>68</v>
      </c>
      <c r="F64" s="72"/>
      <c r="G64" s="98" t="s">
        <v>71</v>
      </c>
      <c r="H64" s="98"/>
      <c r="I64" s="271"/>
      <c r="J64" s="271"/>
      <c r="K64" s="6"/>
      <c r="L64" s="3"/>
      <c r="M64" s="3"/>
      <c r="N64" s="3"/>
      <c r="O64" s="3"/>
    </row>
    <row r="65" spans="1:18" ht="12" customHeight="1">
      <c r="A65" s="3"/>
      <c r="B65" s="338" t="s">
        <v>38</v>
      </c>
      <c r="C65" s="339">
        <f>MAI!L37+JUIN!L44+JUILLET!K37+AOUT!K42</f>
        <v>553.79999999999995</v>
      </c>
      <c r="D65" s="337">
        <f>MAI!M37+JUIN!M44+JUILLET!L37+AOUT!L42</f>
        <v>558</v>
      </c>
      <c r="E65" s="340">
        <f>D65-C65</f>
        <v>4.2000000000000455</v>
      </c>
      <c r="F65" s="163">
        <f>E65/24</f>
        <v>0.1750000000000019</v>
      </c>
      <c r="G65" s="86" t="s">
        <v>22</v>
      </c>
      <c r="H65" s="102"/>
      <c r="I65" s="72"/>
      <c r="J65" s="72"/>
      <c r="K65" s="6"/>
      <c r="L65" s="3"/>
      <c r="M65" s="3"/>
      <c r="N65" s="3"/>
      <c r="O65" s="3"/>
    </row>
    <row r="66" spans="1:18" ht="12" customHeight="1">
      <c r="A66" s="3"/>
      <c r="B66" s="341" t="s">
        <v>36</v>
      </c>
      <c r="C66" s="337">
        <f>MAI!L38+JUIN!L45+JUILLET!K38+AOUT!K43</f>
        <v>631.79999999999995</v>
      </c>
      <c r="D66" s="337">
        <f>MAI!M38+JUIN!M45+JUILLET!L38+AOUT!L43</f>
        <v>830</v>
      </c>
      <c r="E66" s="336">
        <f>D66-C66</f>
        <v>198.20000000000005</v>
      </c>
      <c r="F66" s="163">
        <f>E66/24</f>
        <v>8.2583333333333346</v>
      </c>
      <c r="G66" s="86" t="s">
        <v>29</v>
      </c>
      <c r="H66" s="102">
        <v>10</v>
      </c>
      <c r="I66" s="72"/>
      <c r="J66" s="72"/>
      <c r="K66" s="6"/>
      <c r="L66" s="3"/>
      <c r="M66" s="3"/>
      <c r="N66" s="3"/>
      <c r="O66" s="3"/>
    </row>
    <row r="67" spans="1:18" ht="12" customHeight="1">
      <c r="A67" s="3"/>
      <c r="B67" s="338" t="s">
        <v>21</v>
      </c>
      <c r="C67" s="337">
        <f>MAI!L39+JUIN!L46+JUILLET!K39+AOUT!K44</f>
        <v>245.7</v>
      </c>
      <c r="D67" s="337">
        <f>MAI!M39+JUIN!M46+JUILLET!L39+AOUT!L44</f>
        <v>254</v>
      </c>
      <c r="E67" s="336">
        <f>D67-C67</f>
        <v>8.3000000000000114</v>
      </c>
      <c r="F67" s="163">
        <f>E67/24</f>
        <v>0.34583333333333383</v>
      </c>
      <c r="G67" s="86" t="s">
        <v>48</v>
      </c>
      <c r="H67" s="102"/>
      <c r="I67" s="72"/>
      <c r="J67" s="72"/>
      <c r="K67" s="6"/>
      <c r="L67" s="3"/>
      <c r="M67" s="3"/>
      <c r="N67" s="3"/>
      <c r="O67" s="3"/>
    </row>
    <row r="68" spans="1:18" ht="12" customHeight="1">
      <c r="A68" s="3"/>
      <c r="B68" s="338" t="s">
        <v>31</v>
      </c>
      <c r="C68" s="337">
        <f>MAI!L40+JUIN!L47+JUILLET!K40+AOUT!K45</f>
        <v>424.32</v>
      </c>
      <c r="D68" s="337">
        <f>MAI!M40+JUIN!M47+JUILLET!L40+AOUT!L45</f>
        <v>486</v>
      </c>
      <c r="E68" s="336">
        <f>D68-C68</f>
        <v>61.680000000000007</v>
      </c>
      <c r="F68" s="163">
        <f>E68/24</f>
        <v>2.5700000000000003</v>
      </c>
      <c r="G68" s="86" t="s">
        <v>44</v>
      </c>
      <c r="H68" s="102"/>
      <c r="I68" s="72"/>
      <c r="J68" s="72"/>
      <c r="K68" s="6"/>
      <c r="L68" s="3"/>
      <c r="M68" s="3"/>
      <c r="N68" s="3"/>
      <c r="O68" s="3"/>
    </row>
    <row r="69" spans="1:18" ht="12" customHeight="1">
      <c r="A69" s="3" t="s">
        <v>186</v>
      </c>
      <c r="B69" s="336" t="s">
        <v>28</v>
      </c>
      <c r="C69" s="337">
        <f>MAI!L41+JUIN!L48+JUILLET!K41+AOUT!K46</f>
        <v>327.60000000000002</v>
      </c>
      <c r="D69" s="337">
        <f>MAI!M41+JUIN!M48+JUILLET!L41+AOUT!L46</f>
        <v>422</v>
      </c>
      <c r="E69" s="336">
        <f>D69-C69-(19.4)</f>
        <v>74.999999999999972</v>
      </c>
      <c r="F69" s="163">
        <f>(E69/24)</f>
        <v>3.1249999999999987</v>
      </c>
      <c r="G69" s="86" t="s">
        <v>23</v>
      </c>
      <c r="H69" s="102"/>
      <c r="I69" s="72"/>
      <c r="J69" s="72"/>
      <c r="K69" s="6"/>
      <c r="L69" s="3"/>
      <c r="M69" s="3"/>
      <c r="N69" s="3"/>
      <c r="O69" s="3"/>
    </row>
    <row r="70" spans="1:18" ht="12" customHeight="1">
      <c r="A70" s="3" t="s">
        <v>187</v>
      </c>
      <c r="B70" s="336" t="s">
        <v>42</v>
      </c>
      <c r="C70" s="337">
        <f>MAI!L42+JUIN!L49+JUILLET!K42+AOUT!K47</f>
        <v>514.79999999999995</v>
      </c>
      <c r="D70" s="337">
        <f>MAI!M42+JUIN!M49+JUILLET!L42+AOUT!L47</f>
        <v>542</v>
      </c>
      <c r="E70" s="336">
        <f>D70-C70-50.4</f>
        <v>-23.199999999999953</v>
      </c>
      <c r="F70" s="163">
        <f t="shared" ref="F70:F84" si="4">E70/24</f>
        <v>-0.96666666666666468</v>
      </c>
      <c r="G70" s="86" t="s">
        <v>32</v>
      </c>
      <c r="H70" s="102">
        <v>11</v>
      </c>
      <c r="I70" s="72"/>
      <c r="J70" s="72"/>
      <c r="K70" s="6"/>
      <c r="L70" s="3"/>
      <c r="M70" s="3"/>
      <c r="N70" s="3"/>
      <c r="O70" s="3"/>
    </row>
    <row r="71" spans="1:18" ht="12" customHeight="1">
      <c r="A71" s="3"/>
      <c r="B71" s="336" t="s">
        <v>47</v>
      </c>
      <c r="C71" s="337">
        <f>MAI!L43+JUIN!L50+JUILLET!K43+AOUT!K48</f>
        <v>319.79999999999995</v>
      </c>
      <c r="D71" s="337">
        <f>MAI!M43+JUIN!M50+JUILLET!L43+AOUT!L48</f>
        <v>348</v>
      </c>
      <c r="E71" s="336">
        <f t="shared" ref="E71:E82" si="5">D71-C71</f>
        <v>28.200000000000045</v>
      </c>
      <c r="F71" s="163">
        <f t="shared" si="4"/>
        <v>1.1750000000000018</v>
      </c>
      <c r="G71" s="86" t="s">
        <v>102</v>
      </c>
      <c r="H71" s="102"/>
      <c r="I71" s="199"/>
      <c r="J71" s="199"/>
      <c r="K71" s="6"/>
      <c r="L71" s="3"/>
      <c r="M71" s="3"/>
      <c r="N71" s="3"/>
      <c r="O71" s="3"/>
    </row>
    <row r="72" spans="1:18" ht="12" customHeight="1">
      <c r="A72" s="3"/>
      <c r="B72" s="336" t="s">
        <v>20</v>
      </c>
      <c r="C72" s="337">
        <f>MAI!L44+JUIN!L51+JUILLET!K44+AOUT!K49</f>
        <v>522.59999999999991</v>
      </c>
      <c r="D72" s="337">
        <f>MAI!M44+JUIN!M51+JUILLET!L44+AOUT!L49</f>
        <v>600</v>
      </c>
      <c r="E72" s="336">
        <f t="shared" si="5"/>
        <v>77.400000000000091</v>
      </c>
      <c r="F72" s="163">
        <f t="shared" si="4"/>
        <v>3.2250000000000036</v>
      </c>
      <c r="G72" s="162" t="s">
        <v>168</v>
      </c>
      <c r="H72" s="102"/>
      <c r="I72" s="72"/>
      <c r="J72" s="72"/>
      <c r="K72" s="6"/>
      <c r="L72" s="3"/>
      <c r="M72" s="3"/>
      <c r="N72" s="3"/>
      <c r="O72" s="3"/>
    </row>
    <row r="73" spans="1:18" ht="12" customHeight="1">
      <c r="A73" s="3"/>
      <c r="B73" s="336" t="s">
        <v>19</v>
      </c>
      <c r="C73" s="337">
        <f>+MAI!L45+JUIN!L52+JUILLET!K45+AOUT!K50</f>
        <v>227.76000000000002</v>
      </c>
      <c r="D73" s="337">
        <f>MAI!M45+JUIN!M52+JUILLET!L45+AOUT!L50</f>
        <v>230</v>
      </c>
      <c r="E73" s="336">
        <f t="shared" si="5"/>
        <v>2.2399999999999807</v>
      </c>
      <c r="F73" s="163">
        <f t="shared" si="4"/>
        <v>9.3333333333332533E-2</v>
      </c>
      <c r="G73" s="102" t="s">
        <v>14</v>
      </c>
      <c r="H73" s="166">
        <v>1</v>
      </c>
      <c r="I73" s="86" t="s">
        <v>112</v>
      </c>
      <c r="J73" s="86" t="s">
        <v>113</v>
      </c>
      <c r="K73" s="86" t="s">
        <v>114</v>
      </c>
      <c r="L73" s="3"/>
      <c r="M73" s="3"/>
      <c r="N73" s="3"/>
      <c r="O73" s="3"/>
      <c r="P73" s="3"/>
      <c r="Q73" s="3"/>
      <c r="R73" s="3"/>
    </row>
    <row r="74" spans="1:18" ht="12" customHeight="1">
      <c r="A74" s="3"/>
      <c r="B74" s="336" t="s">
        <v>37</v>
      </c>
      <c r="C74" s="337">
        <f>MAI!L46+JUIN!L53+JUILLET!K46+AOUT!K51</f>
        <v>237.12</v>
      </c>
      <c r="D74" s="337">
        <f>MAI!M46+JUIN!M53+JUILLET!L46+AOUT!L51</f>
        <v>270</v>
      </c>
      <c r="E74" s="336">
        <f t="shared" si="5"/>
        <v>32.879999999999995</v>
      </c>
      <c r="F74" s="163">
        <f t="shared" si="4"/>
        <v>1.3699999999999999</v>
      </c>
      <c r="G74" s="161" t="s">
        <v>38</v>
      </c>
      <c r="H74" s="167">
        <v>100</v>
      </c>
      <c r="I74" s="86">
        <f t="shared" ref="I74:I93" si="6">(44*H74)/100</f>
        <v>44</v>
      </c>
      <c r="J74" s="86">
        <f>AVRIL!J70+MAI!J37+JUIN!J44+JUILLET!I37+AOUT!I42</f>
        <v>29</v>
      </c>
      <c r="K74" s="86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>
      <c r="A75" s="3"/>
      <c r="B75" s="336" t="s">
        <v>27</v>
      </c>
      <c r="C75" s="337">
        <f>MAI!L47+JUIN!L54+JUILLET!K47+AOUT!K52</f>
        <v>449.28</v>
      </c>
      <c r="D75" s="337">
        <f>MAI!M47+JUIN!M54+JUILLET!L47+AOUT!L52</f>
        <v>474</v>
      </c>
      <c r="E75" s="336">
        <f t="shared" si="5"/>
        <v>24.720000000000027</v>
      </c>
      <c r="F75" s="163">
        <f t="shared" si="4"/>
        <v>1.0300000000000011</v>
      </c>
      <c r="G75" s="161" t="s">
        <v>36</v>
      </c>
      <c r="H75" s="167">
        <v>100</v>
      </c>
      <c r="I75" s="86">
        <f t="shared" si="6"/>
        <v>44</v>
      </c>
      <c r="J75" s="86">
        <f>AVRIL!J71+MAI!J38+JUIN!J45+JUILLET!I38+AOUT!I43</f>
        <v>16.5</v>
      </c>
      <c r="K75" s="86">
        <f t="shared" si="7"/>
        <v>27.5</v>
      </c>
      <c r="L75" s="3"/>
      <c r="M75" s="3"/>
      <c r="N75" s="3"/>
      <c r="O75" s="3"/>
      <c r="P75" s="3"/>
      <c r="Q75" s="3"/>
      <c r="R75" s="3"/>
    </row>
    <row r="76" spans="1:18" ht="12" customHeight="1">
      <c r="A76" s="3"/>
      <c r="B76" s="336" t="s">
        <v>34</v>
      </c>
      <c r="C76" s="337">
        <f>MAI!L48+JUIN!L55+JUILLET!K48+AOUT!K53</f>
        <v>592.79999999999995</v>
      </c>
      <c r="D76" s="337">
        <f>MAI!M48+JUIN!M55+JUILLET!L48+AOUT!L53</f>
        <v>682</v>
      </c>
      <c r="E76" s="336">
        <f t="shared" si="5"/>
        <v>89.200000000000045</v>
      </c>
      <c r="F76" s="163">
        <f t="shared" si="4"/>
        <v>3.7166666666666686</v>
      </c>
      <c r="G76" s="161" t="s">
        <v>21</v>
      </c>
      <c r="H76" s="167">
        <v>50</v>
      </c>
      <c r="I76" s="86">
        <f t="shared" si="6"/>
        <v>22</v>
      </c>
      <c r="J76" s="86">
        <f>AVRIL!J72+MAI!J39+JUIN!J46+JUILLET!I39+AOUT!I44</f>
        <v>22</v>
      </c>
      <c r="K76" s="86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>
      <c r="A77" s="3"/>
      <c r="B77" s="336" t="s">
        <v>22</v>
      </c>
      <c r="C77" s="337">
        <f>MAI!L49+JUIN!L56+JUILLET!K49+AOUT!K54</f>
        <v>553.79999999999995</v>
      </c>
      <c r="D77" s="337">
        <f>MAI!M49+JUIN!M56+JUILLET!L49+AOUT!L54</f>
        <v>696</v>
      </c>
      <c r="E77" s="336">
        <f t="shared" si="5"/>
        <v>142.20000000000005</v>
      </c>
      <c r="F77" s="163">
        <f t="shared" si="4"/>
        <v>5.9250000000000016</v>
      </c>
      <c r="G77" s="161" t="s">
        <v>31</v>
      </c>
      <c r="H77" s="167">
        <v>80</v>
      </c>
      <c r="I77" s="86">
        <f t="shared" si="6"/>
        <v>35.200000000000003</v>
      </c>
      <c r="J77" s="86">
        <f>AVRIL!J73+MAI!J40+JUIN!J47+JUILLET!I40+AOUT!I45</f>
        <v>23.200000000000003</v>
      </c>
      <c r="K77" s="86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>
      <c r="A78" s="3"/>
      <c r="B78" s="336" t="s">
        <v>29</v>
      </c>
      <c r="C78" s="337">
        <f>MAI!L50+JUIN!L57+JUILLET!K50+AOUT!K55</f>
        <v>616.20000000000005</v>
      </c>
      <c r="D78" s="337">
        <f>MAI!M50+JUIN!M57+JUILLET!L50+AOUT!L55</f>
        <v>820</v>
      </c>
      <c r="E78" s="336">
        <f t="shared" si="5"/>
        <v>203.79999999999995</v>
      </c>
      <c r="F78" s="163">
        <f t="shared" si="4"/>
        <v>8.4916666666666654</v>
      </c>
      <c r="G78" s="162" t="s">
        <v>28</v>
      </c>
      <c r="H78" s="167">
        <v>60</v>
      </c>
      <c r="I78" s="86">
        <f t="shared" si="6"/>
        <v>26.4</v>
      </c>
      <c r="J78" s="86">
        <f>AVRIL!J74+MAI!J41+JUIN!J48+JUILLET!I41+AOUT!I46</f>
        <v>14.6</v>
      </c>
      <c r="K78" s="86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>
      <c r="A79" s="3"/>
      <c r="B79" s="336" t="s">
        <v>48</v>
      </c>
      <c r="C79" s="337">
        <f>MAI!L51+JUIN!L58+JUILLET!K51+AOUT!K56</f>
        <v>670.8</v>
      </c>
      <c r="D79" s="337">
        <f>MAI!M51+JUIN!M58+JUILLET!L51+AOUT!L56</f>
        <v>902</v>
      </c>
      <c r="E79" s="336">
        <f t="shared" si="5"/>
        <v>231.20000000000005</v>
      </c>
      <c r="F79" s="163">
        <f t="shared" si="4"/>
        <v>9.6333333333333346</v>
      </c>
      <c r="G79" s="162" t="s">
        <v>42</v>
      </c>
      <c r="H79" s="167">
        <v>100</v>
      </c>
      <c r="I79" s="86">
        <f t="shared" si="6"/>
        <v>44</v>
      </c>
      <c r="J79" s="86">
        <f>AVRIL!J75+MAI!J42+JUIN!J49+JUILLET!I42+AOUT!I47-4</f>
        <v>25</v>
      </c>
      <c r="K79" s="86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>
      <c r="A80" s="3"/>
      <c r="B80" s="336" t="s">
        <v>44</v>
      </c>
      <c r="C80" s="337">
        <f>MAI!L52+JUIN!L59+JUILLET!K52+AOUT!K57</f>
        <v>592.79999999999995</v>
      </c>
      <c r="D80" s="337">
        <f>MAI!M52+JUIN!M59+JUILLET!L52+AOUT!L57</f>
        <v>688</v>
      </c>
      <c r="E80" s="336">
        <f t="shared" si="5"/>
        <v>95.200000000000045</v>
      </c>
      <c r="F80" s="163">
        <f t="shared" si="4"/>
        <v>3.9666666666666686</v>
      </c>
      <c r="G80" s="162" t="s">
        <v>47</v>
      </c>
      <c r="H80" s="167">
        <v>50</v>
      </c>
      <c r="I80" s="86">
        <f t="shared" si="6"/>
        <v>22</v>
      </c>
      <c r="J80" s="86">
        <f>AVRIL!J76+MAI!J43+JUIN!J50+JUILLET!I43+AOUT!I48</f>
        <v>2</v>
      </c>
      <c r="K80" s="86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>
      <c r="A81" s="3"/>
      <c r="B81" s="336" t="s">
        <v>23</v>
      </c>
      <c r="C81" s="337">
        <f>MAI!L53+JUIN!L60+JUILLET!K53+AOUT!K58</f>
        <v>569.4</v>
      </c>
      <c r="D81" s="337">
        <f>MAI!M53+JUIN!M60+JUILLET!L53+AOUT!L58</f>
        <v>593</v>
      </c>
      <c r="E81" s="336">
        <f t="shared" si="5"/>
        <v>23.600000000000023</v>
      </c>
      <c r="F81" s="163">
        <f t="shared" si="4"/>
        <v>0.98333333333333428</v>
      </c>
      <c r="G81" s="162" t="s">
        <v>20</v>
      </c>
      <c r="H81" s="167">
        <v>100</v>
      </c>
      <c r="I81" s="86">
        <f t="shared" si="6"/>
        <v>44</v>
      </c>
      <c r="J81" s="86">
        <f>AVRIL!J77+MAI!J44+JUIN!J51+JUILLET!I44+AOUT!I49</f>
        <v>26</v>
      </c>
      <c r="K81" s="86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>
      <c r="A82" s="3"/>
      <c r="B82" s="336" t="s">
        <v>32</v>
      </c>
      <c r="C82" s="337">
        <f>MAI!L54+JUIN!L61+JUILLET!K54+AOUT!K59</f>
        <v>624</v>
      </c>
      <c r="D82" s="337">
        <f>MAI!M54+JUIN!M61+JUILLET!L54+AOUT!L59</f>
        <v>780</v>
      </c>
      <c r="E82" s="336">
        <f t="shared" si="5"/>
        <v>156</v>
      </c>
      <c r="F82" s="163">
        <f t="shared" si="4"/>
        <v>6.5</v>
      </c>
      <c r="G82" s="162" t="s">
        <v>19</v>
      </c>
      <c r="H82" s="167">
        <v>40</v>
      </c>
      <c r="I82" s="86">
        <f t="shared" si="6"/>
        <v>17.600000000000001</v>
      </c>
      <c r="J82" s="86">
        <f>AVRIL!J78+MAI!J45+JUIN!J52+JUILLET!I45+AOUT!I50</f>
        <v>5.2</v>
      </c>
      <c r="K82" s="86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>
      <c r="A83" s="3" t="s">
        <v>188</v>
      </c>
      <c r="B83" s="336" t="s">
        <v>102</v>
      </c>
      <c r="C83" s="337">
        <f>MAI!L55+JUIN!L62+JUILLET!K55+AOUT!K60</f>
        <v>670.8</v>
      </c>
      <c r="D83" s="337">
        <f>MAI!M55+JUIN!M62+JUILLET!L55+AOUT!L60</f>
        <v>750</v>
      </c>
      <c r="E83" s="336">
        <f>D83-C83-(20.4)</f>
        <v>58.800000000000047</v>
      </c>
      <c r="F83" s="163">
        <f t="shared" si="4"/>
        <v>2.450000000000002</v>
      </c>
      <c r="G83" s="162" t="s">
        <v>37</v>
      </c>
      <c r="H83" s="167">
        <v>40</v>
      </c>
      <c r="I83" s="86">
        <f t="shared" si="6"/>
        <v>17.600000000000001</v>
      </c>
      <c r="J83" s="86">
        <f>AVRIL!J79+MAI!J46+JUIN!J53+JUILLET!I46+AOUT!I51</f>
        <v>6.4</v>
      </c>
      <c r="K83" s="86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>
      <c r="A84" s="3"/>
      <c r="B84" s="334" t="s">
        <v>168</v>
      </c>
      <c r="C84" s="335">
        <f>MAI!L56+JUILLET!K56+AOUT!K61</f>
        <v>261.89999999999998</v>
      </c>
      <c r="D84" s="335">
        <f>MAI!M56+JUILLET!L56+AOUT!L61</f>
        <v>328</v>
      </c>
      <c r="E84" s="334">
        <f>D84-C84-(20.4)</f>
        <v>45.700000000000024</v>
      </c>
      <c r="F84" s="163">
        <f t="shared" si="4"/>
        <v>1.9041666666666677</v>
      </c>
      <c r="G84" s="162" t="s">
        <v>27</v>
      </c>
      <c r="H84" s="167">
        <v>80</v>
      </c>
      <c r="I84" s="86">
        <f t="shared" si="6"/>
        <v>35.200000000000003</v>
      </c>
      <c r="J84" s="86">
        <f>AVRIL!J80+MAI!J47+JUIN!J54+JUILLET!I47+AOUT!I52</f>
        <v>19.2</v>
      </c>
      <c r="K84" s="86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>
      <c r="A85" s="3"/>
      <c r="B85" s="3"/>
      <c r="C85" s="72"/>
      <c r="D85" s="72"/>
      <c r="E85" s="72"/>
      <c r="F85" s="72"/>
      <c r="G85" s="162" t="s">
        <v>34</v>
      </c>
      <c r="H85" s="167">
        <v>100</v>
      </c>
      <c r="I85" s="86">
        <f t="shared" si="6"/>
        <v>44</v>
      </c>
      <c r="J85" s="86">
        <f>AVRIL!J81+MAI!J48+JUIN!J55+JUILLET!I48+AOUT!I53</f>
        <v>10</v>
      </c>
      <c r="K85" s="86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>
      <c r="A86" s="3"/>
      <c r="B86" s="3"/>
      <c r="C86" s="72"/>
      <c r="D86" s="72"/>
      <c r="E86" s="72"/>
      <c r="F86" s="72"/>
      <c r="G86" s="162" t="s">
        <v>22</v>
      </c>
      <c r="H86" s="167">
        <v>100</v>
      </c>
      <c r="I86" s="86">
        <f t="shared" si="6"/>
        <v>44</v>
      </c>
      <c r="J86" s="86">
        <f>AVRIL!J82+MAI!J49+JUIN!J56+JUILLET!I49+AOUT!I54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>
      <c r="A87" s="3"/>
      <c r="B87" s="3"/>
      <c r="C87" s="72"/>
      <c r="D87" s="72"/>
      <c r="E87" s="72"/>
      <c r="F87" s="72"/>
      <c r="G87" s="162" t="s">
        <v>29</v>
      </c>
      <c r="H87" s="167">
        <v>100</v>
      </c>
      <c r="I87" s="86">
        <f t="shared" si="6"/>
        <v>44</v>
      </c>
      <c r="J87" s="86">
        <f>AVRIL!J83+MAI!J50+JUIN!J57+JUILLET!I50+AOUT!I55</f>
        <v>21</v>
      </c>
      <c r="K87" s="86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>
      <c r="A88" s="3"/>
      <c r="B88" s="3"/>
      <c r="C88" s="72"/>
      <c r="D88" s="72"/>
      <c r="E88" s="72"/>
      <c r="F88" s="72"/>
      <c r="G88" s="162" t="s">
        <v>48</v>
      </c>
      <c r="H88" s="167">
        <v>100</v>
      </c>
      <c r="I88" s="86">
        <f t="shared" si="6"/>
        <v>44</v>
      </c>
      <c r="J88" s="86">
        <f>AVRIL!J84+MAI!J51+JUIN!J58+JUILLET!I51+AOUT!I56</f>
        <v>6</v>
      </c>
      <c r="K88" s="86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>
      <c r="A89" s="3"/>
      <c r="B89" s="3"/>
      <c r="C89" s="72"/>
      <c r="D89" s="72"/>
      <c r="E89" s="72"/>
      <c r="F89" s="72"/>
      <c r="G89" s="162" t="s">
        <v>44</v>
      </c>
      <c r="H89" s="167">
        <v>100</v>
      </c>
      <c r="I89" s="86">
        <f t="shared" si="6"/>
        <v>44</v>
      </c>
      <c r="J89" s="86">
        <f>AVRIL!J85+MAI!J52+JUIN!J59+JUILLET!I52+AOUT!I57</f>
        <v>20</v>
      </c>
      <c r="K89" s="86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>
      <c r="A90" s="3"/>
      <c r="B90" s="3"/>
      <c r="C90" s="72"/>
      <c r="D90" s="72"/>
      <c r="E90" s="72"/>
      <c r="F90" s="72"/>
      <c r="G90" s="162" t="s">
        <v>23</v>
      </c>
      <c r="H90" s="167">
        <v>100</v>
      </c>
      <c r="I90" s="86">
        <f t="shared" si="6"/>
        <v>44</v>
      </c>
      <c r="J90" s="86">
        <f>AVRIL!J86+MAI!J53+JUIN!J60+JUILLET!I53+AOUT!I58</f>
        <v>18</v>
      </c>
      <c r="K90" s="86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>
      <c r="A91" s="3"/>
      <c r="B91" s="3"/>
      <c r="C91" s="72"/>
      <c r="D91" s="72"/>
      <c r="E91" s="72"/>
      <c r="F91" s="72"/>
      <c r="G91" s="162" t="s">
        <v>32</v>
      </c>
      <c r="H91" s="167">
        <v>100</v>
      </c>
      <c r="I91" s="86">
        <f t="shared" si="6"/>
        <v>44</v>
      </c>
      <c r="J91" s="86">
        <f>AVRIL!J87+MAI!J54+JUIN!J61+JUILLET!I54+AOUT!I59</f>
        <v>15</v>
      </c>
      <c r="K91" s="86">
        <f t="shared" si="7"/>
        <v>29</v>
      </c>
      <c r="L91" s="3"/>
      <c r="M91" s="3"/>
      <c r="N91" s="3"/>
      <c r="O91" s="3"/>
      <c r="P91" s="3"/>
      <c r="Q91" s="3"/>
      <c r="R91" s="3"/>
    </row>
    <row r="92" spans="1:18" ht="12" customHeight="1">
      <c r="A92" s="3"/>
      <c r="B92" s="3"/>
      <c r="C92" s="72"/>
      <c r="D92" s="72"/>
      <c r="E92" s="72"/>
      <c r="F92" s="72"/>
      <c r="G92" s="162" t="s">
        <v>102</v>
      </c>
      <c r="H92" s="167">
        <v>100</v>
      </c>
      <c r="I92" s="86">
        <f t="shared" si="6"/>
        <v>44</v>
      </c>
      <c r="J92" s="86">
        <f>AVRIL!J88+MAI!J55+JUIN!J62+JUILLET!I55+AOUT!I60</f>
        <v>0</v>
      </c>
      <c r="K92" s="86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>
      <c r="A93" s="3"/>
      <c r="B93" s="3"/>
      <c r="C93" s="72"/>
      <c r="D93" s="72"/>
      <c r="E93" s="72"/>
      <c r="F93" s="72"/>
      <c r="G93" s="162" t="s">
        <v>168</v>
      </c>
      <c r="H93" s="167">
        <v>100</v>
      </c>
      <c r="I93" s="86">
        <f t="shared" si="6"/>
        <v>44</v>
      </c>
      <c r="J93" s="86">
        <f>AVRIL!J89+MAI!J56+JUILLET!I56+AOUT!I61</f>
        <v>0</v>
      </c>
      <c r="K93" s="86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>
      <c r="K829" s="6"/>
      <c r="L829" s="3"/>
      <c r="M829" s="3"/>
      <c r="N829" s="3"/>
      <c r="O829" s="3"/>
      <c r="P829" s="3"/>
      <c r="Q829" s="3"/>
      <c r="R829" s="3"/>
    </row>
    <row r="830" spans="1:18" ht="12" customHeight="1">
      <c r="K830" s="6"/>
      <c r="L830" s="3"/>
      <c r="M830" s="3"/>
      <c r="N830" s="3"/>
      <c r="O830" s="3"/>
      <c r="P830" s="3"/>
      <c r="Q830" s="3"/>
      <c r="R830" s="3"/>
    </row>
    <row r="831" spans="1:18" ht="12" customHeight="1">
      <c r="K831" s="6"/>
      <c r="L831" s="3"/>
      <c r="M831" s="3"/>
      <c r="N831" s="3"/>
      <c r="O831" s="3"/>
      <c r="P831" s="3"/>
      <c r="Q831" s="3"/>
      <c r="R831" s="3"/>
    </row>
    <row r="832" spans="1:18" ht="12" customHeight="1">
      <c r="K832" s="6"/>
      <c r="L832" s="3"/>
      <c r="M832" s="3"/>
      <c r="N832" s="3"/>
      <c r="O832" s="3"/>
      <c r="P832" s="3"/>
      <c r="Q832" s="3"/>
      <c r="R832" s="3"/>
    </row>
    <row r="833" spans="11:18" ht="12" customHeight="1">
      <c r="K833" s="6"/>
      <c r="L833" s="3"/>
      <c r="M833" s="3"/>
      <c r="N833" s="3"/>
      <c r="O833" s="3"/>
      <c r="P833" s="3"/>
      <c r="Q833" s="3"/>
      <c r="R833" s="3"/>
    </row>
    <row r="834" spans="11:18" ht="12" customHeight="1">
      <c r="K834" s="6"/>
      <c r="L834" s="3"/>
      <c r="M834" s="3"/>
      <c r="N834" s="3"/>
      <c r="O834" s="3"/>
      <c r="P834" s="3"/>
      <c r="Q834" s="3"/>
      <c r="R834" s="3"/>
    </row>
    <row r="835" spans="11:18" ht="12" customHeight="1">
      <c r="K835" s="6"/>
      <c r="L835" s="3"/>
      <c r="M835" s="3"/>
      <c r="N835" s="3"/>
      <c r="O835" s="3"/>
      <c r="P835" s="3"/>
      <c r="Q835" s="3"/>
      <c r="R835" s="3"/>
    </row>
    <row r="836" spans="11:18" ht="12" customHeight="1">
      <c r="K836" s="6"/>
      <c r="L836" s="3"/>
      <c r="M836" s="3"/>
      <c r="N836" s="3"/>
      <c r="O836" s="3"/>
      <c r="P836" s="3"/>
      <c r="Q836" s="3"/>
      <c r="R836" s="3"/>
    </row>
    <row r="837" spans="11:18" ht="12" customHeight="1">
      <c r="K837" s="6"/>
      <c r="L837" s="3"/>
      <c r="M837" s="3"/>
      <c r="N837" s="3"/>
      <c r="O837" s="3"/>
      <c r="P837" s="3"/>
      <c r="Q837" s="3"/>
      <c r="R837" s="3"/>
    </row>
    <row r="838" spans="11:18" ht="12" customHeight="1">
      <c r="K838" s="6"/>
      <c r="L838" s="3"/>
      <c r="M838" s="3"/>
      <c r="N838" s="3"/>
      <c r="O838" s="3"/>
      <c r="P838" s="3"/>
      <c r="Q838" s="3"/>
      <c r="R838" s="3"/>
    </row>
    <row r="839" spans="11:18" ht="12" customHeight="1">
      <c r="K839" s="6"/>
      <c r="L839" s="3"/>
      <c r="M839" s="3"/>
      <c r="N839" s="3"/>
      <c r="O839" s="3"/>
      <c r="P839" s="3"/>
      <c r="Q839" s="3"/>
      <c r="R839" s="3"/>
    </row>
    <row r="840" spans="11:18" ht="12" customHeight="1">
      <c r="K840" s="6"/>
      <c r="L840" s="3"/>
      <c r="M840" s="3"/>
      <c r="N840" s="3"/>
      <c r="O840" s="3"/>
      <c r="P840" s="3"/>
      <c r="Q840" s="3"/>
      <c r="R840" s="3"/>
    </row>
    <row r="841" spans="11:18" ht="12" customHeight="1">
      <c r="K841" s="6"/>
      <c r="L841" s="3"/>
      <c r="M841" s="3"/>
      <c r="N841" s="3"/>
      <c r="O841" s="3"/>
      <c r="P841" s="3"/>
      <c r="Q841" s="3"/>
      <c r="R841" s="3"/>
    </row>
    <row r="842" spans="11:18" ht="12" customHeight="1">
      <c r="K842" s="6"/>
      <c r="L842" s="3"/>
      <c r="M842" s="3"/>
      <c r="N842" s="3"/>
      <c r="O842" s="3"/>
      <c r="P842" s="3"/>
      <c r="Q842" s="3"/>
      <c r="R842" s="3"/>
    </row>
    <row r="843" spans="11:18" ht="12" customHeight="1">
      <c r="K843" s="6"/>
      <c r="L843" s="3"/>
      <c r="M843" s="3"/>
      <c r="N843" s="3"/>
      <c r="O843" s="3"/>
      <c r="P843" s="3"/>
      <c r="Q843" s="3"/>
      <c r="R843" s="3"/>
    </row>
    <row r="844" spans="11:18" ht="12" customHeight="1">
      <c r="K844" s="6"/>
      <c r="L844" s="3"/>
      <c r="M844" s="3"/>
      <c r="N844" s="3"/>
      <c r="O844" s="3"/>
      <c r="P844" s="3"/>
      <c r="Q844" s="3"/>
      <c r="R844" s="3"/>
    </row>
    <row r="845" spans="11:18" ht="12" customHeight="1">
      <c r="K845" s="6"/>
      <c r="L845" s="3"/>
      <c r="M845" s="3"/>
      <c r="N845" s="3"/>
      <c r="O845" s="3"/>
      <c r="P845" s="3"/>
      <c r="Q845" s="3"/>
      <c r="R845" s="3"/>
    </row>
    <row r="846" spans="11:18" ht="12" customHeight="1">
      <c r="K846" s="6"/>
      <c r="L846" s="3"/>
      <c r="M846" s="3"/>
      <c r="N846" s="3"/>
      <c r="O846" s="3"/>
      <c r="P846" s="3"/>
      <c r="Q846" s="3"/>
      <c r="R846" s="3"/>
    </row>
    <row r="847" spans="11:18" ht="12" customHeight="1">
      <c r="K847" s="6"/>
      <c r="L847" s="3"/>
      <c r="M847" s="3"/>
      <c r="N847" s="3"/>
      <c r="O847" s="3"/>
      <c r="P847" s="3"/>
      <c r="Q847" s="3"/>
      <c r="R847" s="3"/>
    </row>
    <row r="848" spans="11:18" ht="12" customHeight="1">
      <c r="K848" s="6"/>
      <c r="L848" s="3"/>
      <c r="M848" s="3"/>
      <c r="N848" s="3"/>
      <c r="O848" s="3"/>
      <c r="P848" s="3"/>
      <c r="Q848" s="3"/>
      <c r="R848" s="3"/>
    </row>
    <row r="849" spans="11:18" ht="12" customHeight="1">
      <c r="K849" s="6"/>
      <c r="L849" s="3"/>
      <c r="M849" s="3"/>
      <c r="N849" s="3"/>
      <c r="O849" s="3"/>
      <c r="P849" s="3"/>
      <c r="Q849" s="3"/>
      <c r="R849" s="3"/>
    </row>
    <row r="850" spans="11:18" ht="12" customHeight="1">
      <c r="K850" s="6"/>
      <c r="L850" s="3"/>
      <c r="M850" s="3"/>
      <c r="N850" s="3"/>
      <c r="O850" s="3"/>
      <c r="P850" s="3"/>
      <c r="Q850" s="3"/>
      <c r="R850" s="3"/>
    </row>
    <row r="851" spans="11:18" ht="12" customHeight="1">
      <c r="K851" s="6"/>
      <c r="L851" s="3"/>
      <c r="M851" s="3"/>
      <c r="N851" s="3"/>
      <c r="O851" s="3"/>
      <c r="P851" s="3"/>
      <c r="Q851" s="3"/>
      <c r="R851" s="3"/>
    </row>
    <row r="852" spans="11:18" ht="12" customHeight="1">
      <c r="K852" s="6"/>
      <c r="L852" s="3"/>
      <c r="M852" s="3"/>
      <c r="N852" s="3"/>
      <c r="O852" s="3"/>
      <c r="P852" s="3"/>
      <c r="Q852" s="3"/>
      <c r="R852" s="3"/>
    </row>
    <row r="853" spans="11:18" ht="12" customHeight="1">
      <c r="K853" s="6"/>
      <c r="L853" s="3"/>
      <c r="M853" s="3"/>
      <c r="N853" s="3"/>
      <c r="O853" s="3"/>
      <c r="P853" s="3"/>
      <c r="Q853" s="3"/>
      <c r="R853" s="3"/>
    </row>
    <row r="854" spans="11:18" ht="12" customHeight="1">
      <c r="K854" s="6"/>
      <c r="L854" s="3"/>
      <c r="M854" s="3"/>
      <c r="N854" s="3"/>
      <c r="O854" s="3"/>
      <c r="P854" s="3"/>
      <c r="Q854" s="3"/>
      <c r="R854" s="3"/>
    </row>
    <row r="855" spans="11:18" ht="12" customHeight="1">
      <c r="K855" s="6"/>
      <c r="L855" s="3"/>
      <c r="M855" s="3"/>
      <c r="N855" s="3"/>
      <c r="O855" s="3"/>
      <c r="P855" s="3"/>
      <c r="Q855" s="3"/>
      <c r="R855" s="3"/>
    </row>
    <row r="856" spans="11:18" ht="12" customHeight="1">
      <c r="K856" s="6"/>
      <c r="L856" s="3"/>
      <c r="M856" s="3"/>
      <c r="N856" s="3"/>
      <c r="O856" s="3"/>
      <c r="P856" s="3"/>
      <c r="Q856" s="3"/>
      <c r="R856" s="3"/>
    </row>
    <row r="857" spans="11:18" ht="12" customHeight="1">
      <c r="K857" s="6"/>
      <c r="L857" s="3"/>
      <c r="M857" s="3"/>
      <c r="N857" s="3"/>
      <c r="O857" s="3"/>
      <c r="P857" s="3"/>
      <c r="Q857" s="3"/>
      <c r="R857" s="3"/>
    </row>
    <row r="858" spans="11:18" ht="12" customHeight="1">
      <c r="K858" s="6"/>
      <c r="L858" s="3"/>
      <c r="M858" s="3"/>
      <c r="N858" s="3"/>
      <c r="O858" s="3"/>
      <c r="P858" s="3"/>
      <c r="Q858" s="3"/>
      <c r="R858" s="3"/>
    </row>
    <row r="859" spans="11:18" ht="12" customHeight="1">
      <c r="K859" s="6"/>
      <c r="L859" s="3"/>
      <c r="M859" s="3"/>
      <c r="N859" s="3"/>
      <c r="O859" s="3"/>
      <c r="P859" s="3"/>
      <c r="Q859" s="3"/>
      <c r="R859" s="3"/>
    </row>
    <row r="860" spans="11:18" ht="12" customHeight="1">
      <c r="K860" s="6"/>
      <c r="L860" s="3"/>
      <c r="M860" s="3"/>
      <c r="N860" s="3"/>
      <c r="O860" s="3"/>
      <c r="P860" s="3"/>
      <c r="Q860" s="3"/>
      <c r="R860" s="3"/>
    </row>
    <row r="861" spans="11:18" ht="12" customHeight="1">
      <c r="K861" s="6"/>
      <c r="L861" s="3"/>
      <c r="M861" s="3"/>
      <c r="N861" s="3"/>
      <c r="O861" s="3"/>
      <c r="P861" s="3"/>
      <c r="Q861" s="3"/>
      <c r="R861" s="3"/>
    </row>
    <row r="862" spans="11:18" ht="12" customHeight="1">
      <c r="K862" s="6"/>
      <c r="L862" s="3"/>
      <c r="M862" s="3"/>
      <c r="N862" s="3"/>
      <c r="O862" s="3"/>
      <c r="P862" s="3"/>
      <c r="Q862" s="3"/>
      <c r="R862" s="3"/>
    </row>
    <row r="863" spans="11:18" ht="12" customHeight="1">
      <c r="K863" s="6"/>
      <c r="L863" s="3"/>
      <c r="M863" s="3"/>
      <c r="N863" s="3"/>
      <c r="O863" s="3"/>
      <c r="P863" s="3"/>
      <c r="Q863" s="3"/>
      <c r="R863" s="3"/>
    </row>
    <row r="864" spans="11:18" ht="12" customHeight="1">
      <c r="K864" s="6"/>
      <c r="L864" s="3"/>
      <c r="M864" s="3"/>
      <c r="N864" s="3"/>
      <c r="O864" s="3"/>
      <c r="P864" s="3"/>
      <c r="Q864" s="3"/>
      <c r="R864" s="3"/>
    </row>
    <row r="865" spans="11:18" ht="12" customHeight="1">
      <c r="K865" s="6"/>
      <c r="L865" s="3"/>
      <c r="M865" s="3"/>
      <c r="N865" s="3"/>
      <c r="O865" s="3"/>
      <c r="P865" s="3"/>
      <c r="Q865" s="3"/>
      <c r="R865" s="3"/>
    </row>
    <row r="866" spans="11:18" ht="12" customHeight="1">
      <c r="K866" s="6"/>
      <c r="L866" s="3"/>
      <c r="M866" s="3"/>
      <c r="N866" s="3"/>
      <c r="O866" s="3"/>
      <c r="P866" s="3"/>
      <c r="Q866" s="3"/>
      <c r="R866" s="3"/>
    </row>
    <row r="867" spans="11:18" ht="12" customHeight="1">
      <c r="K867" s="6"/>
      <c r="L867" s="3"/>
      <c r="M867" s="3"/>
      <c r="N867" s="3"/>
      <c r="O867" s="3"/>
      <c r="P867" s="3"/>
      <c r="Q867" s="3"/>
      <c r="R867" s="3"/>
    </row>
    <row r="868" spans="11:18" ht="12" customHeight="1">
      <c r="K868" s="6"/>
      <c r="L868" s="3"/>
      <c r="M868" s="3"/>
      <c r="N868" s="3"/>
      <c r="O868" s="3"/>
      <c r="P868" s="3"/>
      <c r="Q868" s="3"/>
      <c r="R868" s="3"/>
    </row>
    <row r="869" spans="11:18" ht="12" customHeight="1">
      <c r="K869" s="6"/>
      <c r="L869" s="3"/>
      <c r="M869" s="3"/>
      <c r="N869" s="3"/>
      <c r="O869" s="3"/>
      <c r="P869" s="3"/>
      <c r="Q869" s="3"/>
      <c r="R869" s="3"/>
    </row>
    <row r="870" spans="11:18" ht="12" customHeight="1">
      <c r="K870" s="6"/>
      <c r="L870" s="3"/>
      <c r="M870" s="3"/>
      <c r="N870" s="3"/>
      <c r="O870" s="3"/>
      <c r="P870" s="3"/>
      <c r="Q870" s="3"/>
      <c r="R870" s="3"/>
    </row>
    <row r="871" spans="11:18" ht="12" customHeight="1">
      <c r="K871" s="6"/>
      <c r="L871" s="3"/>
      <c r="M871" s="3"/>
      <c r="N871" s="3"/>
      <c r="O871" s="3"/>
      <c r="P871" s="3"/>
      <c r="Q871" s="3"/>
      <c r="R871" s="3"/>
    </row>
    <row r="872" spans="11:18" ht="12" customHeight="1">
      <c r="K872" s="6"/>
      <c r="L872" s="3"/>
      <c r="M872" s="3"/>
      <c r="N872" s="3"/>
      <c r="O872" s="3"/>
      <c r="P872" s="3"/>
      <c r="Q872" s="3"/>
      <c r="R872" s="3"/>
    </row>
    <row r="873" spans="11:18" ht="12" customHeight="1">
      <c r="K873" s="6"/>
      <c r="L873" s="3"/>
      <c r="M873" s="3"/>
      <c r="N873" s="3"/>
      <c r="O873" s="3"/>
      <c r="P873" s="3"/>
      <c r="Q873" s="3"/>
      <c r="R873" s="3"/>
    </row>
    <row r="874" spans="11:18" ht="12" customHeight="1">
      <c r="K874" s="6"/>
      <c r="L874" s="3"/>
      <c r="M874" s="3"/>
      <c r="N874" s="3"/>
      <c r="O874" s="3"/>
      <c r="P874" s="3"/>
      <c r="Q874" s="3"/>
      <c r="R874" s="3"/>
    </row>
    <row r="875" spans="11:18" ht="12" customHeight="1">
      <c r="K875" s="6"/>
      <c r="L875" s="3"/>
      <c r="M875" s="3"/>
      <c r="N875" s="3"/>
      <c r="O875" s="3"/>
      <c r="P875" s="3"/>
      <c r="Q875" s="3"/>
      <c r="R875" s="3"/>
    </row>
    <row r="876" spans="11:18" ht="12" customHeight="1">
      <c r="K876" s="6"/>
      <c r="L876" s="3"/>
      <c r="M876" s="3"/>
      <c r="N876" s="3"/>
      <c r="O876" s="3"/>
      <c r="P876" s="3"/>
      <c r="Q876" s="3"/>
      <c r="R876" s="3"/>
    </row>
    <row r="877" spans="11:18" ht="12" customHeight="1">
      <c r="K877" s="6"/>
      <c r="L877" s="3"/>
      <c r="M877" s="3"/>
      <c r="N877" s="3"/>
      <c r="O877" s="3"/>
      <c r="P877" s="3"/>
      <c r="Q877" s="3"/>
      <c r="R877" s="3"/>
    </row>
    <row r="878" spans="11:18" ht="12" customHeight="1">
      <c r="K878" s="6"/>
      <c r="L878" s="3"/>
      <c r="M878" s="3"/>
      <c r="N878" s="3"/>
      <c r="O878" s="3"/>
      <c r="P878" s="3"/>
      <c r="Q878" s="3"/>
      <c r="R878" s="3"/>
    </row>
    <row r="879" spans="11:18" ht="12" customHeight="1">
      <c r="K879" s="6"/>
      <c r="L879" s="3"/>
      <c r="M879" s="3"/>
      <c r="N879" s="3"/>
      <c r="O879" s="3"/>
      <c r="P879" s="3"/>
      <c r="Q879" s="3"/>
      <c r="R879" s="3"/>
    </row>
    <row r="880" spans="11:18" ht="15" customHeight="1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F11:K11 K26:K27 F38:G38 K29 J25:J27 G30:K30 G31:H31 J31:K31 F32:G33 I32:K32 I33:J33 E34:G34 I34:K38 F35:G35 E36:G37 G28:I28 E25:I26 E27:F31 G27:H27 G29:H29 C24:D38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zoomScale="111" zoomScaleNormal="111" workbookViewId="0">
      <selection activeCell="F17" sqref="F17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125" style="1" customWidth="1"/>
    <col min="9" max="9" width="14" style="2" customWidth="1"/>
    <col min="10" max="10" width="15" style="1" customWidth="1"/>
    <col min="11" max="11" width="15.375" style="1" customWidth="1"/>
    <col min="12" max="12" width="15.625" style="1" customWidth="1"/>
    <col min="13" max="13" width="12.5" style="1" customWidth="1"/>
    <col min="14" max="14" width="10" style="1" customWidth="1"/>
    <col min="15" max="15" width="7.6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7" t="s">
        <v>189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68" t="s">
        <v>1</v>
      </c>
      <c r="D2" s="368"/>
      <c r="E2" s="4" t="s">
        <v>2</v>
      </c>
      <c r="F2" s="369" t="s">
        <v>3</v>
      </c>
      <c r="G2" s="369"/>
      <c r="H2" s="5"/>
      <c r="I2" s="6"/>
      <c r="J2" s="370" t="s">
        <v>4</v>
      </c>
      <c r="K2" s="370"/>
      <c r="L2" s="370"/>
      <c r="M2" s="370"/>
      <c r="N2" s="370"/>
      <c r="O2" s="370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45907</v>
      </c>
      <c r="C4" s="33" t="s">
        <v>38</v>
      </c>
      <c r="D4" s="33" t="s">
        <v>38</v>
      </c>
      <c r="E4" s="104" t="s">
        <v>102</v>
      </c>
      <c r="F4" s="327" t="s">
        <v>22</v>
      </c>
      <c r="G4" s="327" t="s">
        <v>22</v>
      </c>
      <c r="H4" s="36" t="s">
        <v>21</v>
      </c>
      <c r="I4" s="273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45908</v>
      </c>
      <c r="C5" s="104" t="s">
        <v>23</v>
      </c>
      <c r="D5" s="104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4" t="s">
        <v>48</v>
      </c>
      <c r="K5" s="36"/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45909</v>
      </c>
      <c r="C6" s="104" t="s">
        <v>102</v>
      </c>
      <c r="D6" s="104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59" t="s">
        <v>44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4" t="s">
        <v>23</v>
      </c>
      <c r="G7" s="104" t="s">
        <v>23</v>
      </c>
      <c r="H7" s="33" t="s">
        <v>20</v>
      </c>
      <c r="I7" s="33"/>
      <c r="J7" s="104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45911</v>
      </c>
      <c r="C8" s="33" t="s">
        <v>27</v>
      </c>
      <c r="D8" s="33" t="s">
        <v>27</v>
      </c>
      <c r="E8" s="104" t="s">
        <v>44</v>
      </c>
      <c r="F8" s="33" t="s">
        <v>37</v>
      </c>
      <c r="G8" s="104" t="s">
        <v>102</v>
      </c>
      <c r="H8" s="104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45912</v>
      </c>
      <c r="C9" s="58" t="s">
        <v>20</v>
      </c>
      <c r="D9" s="58" t="s">
        <v>20</v>
      </c>
      <c r="E9" s="104" t="s">
        <v>48</v>
      </c>
      <c r="F9" s="328" t="s">
        <v>22</v>
      </c>
      <c r="G9" s="328" t="s">
        <v>22</v>
      </c>
      <c r="H9" s="154" t="s">
        <v>21</v>
      </c>
      <c r="I9" s="129"/>
      <c r="J9" s="42"/>
      <c r="K9" s="43"/>
      <c r="L9" s="274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45913</v>
      </c>
      <c r="C10" s="54" t="s">
        <v>27</v>
      </c>
      <c r="D10" s="54" t="s">
        <v>27</v>
      </c>
      <c r="E10" s="154" t="s">
        <v>21</v>
      </c>
      <c r="F10" s="104" t="s">
        <v>168</v>
      </c>
      <c r="G10" s="104" t="s">
        <v>168</v>
      </c>
      <c r="H10" s="104" t="s">
        <v>48</v>
      </c>
      <c r="I10" s="119" t="s">
        <v>23</v>
      </c>
      <c r="J10" s="42"/>
      <c r="K10" s="43"/>
      <c r="L10" s="274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4" t="s">
        <v>102</v>
      </c>
      <c r="G11" s="104" t="s">
        <v>102</v>
      </c>
      <c r="H11" s="327" t="s">
        <v>22</v>
      </c>
      <c r="I11" s="246" t="s">
        <v>44</v>
      </c>
      <c r="J11" s="104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45915</v>
      </c>
      <c r="C12" s="104" t="s">
        <v>168</v>
      </c>
      <c r="D12" s="33" t="s">
        <v>28</v>
      </c>
      <c r="E12" s="36" t="s">
        <v>21</v>
      </c>
      <c r="F12" s="327" t="s">
        <v>22</v>
      </c>
      <c r="G12" s="327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45916</v>
      </c>
      <c r="C13" s="33" t="s">
        <v>27</v>
      </c>
      <c r="D13" s="33" t="s">
        <v>27</v>
      </c>
      <c r="E13" s="104" t="s">
        <v>23</v>
      </c>
      <c r="F13" s="104" t="s">
        <v>168</v>
      </c>
      <c r="G13" s="104" t="s">
        <v>48</v>
      </c>
      <c r="H13" s="36" t="s">
        <v>37</v>
      </c>
      <c r="I13" s="33"/>
      <c r="J13" s="104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45917</v>
      </c>
      <c r="C14" s="104" t="s">
        <v>23</v>
      </c>
      <c r="D14" s="33" t="s">
        <v>31</v>
      </c>
      <c r="E14" s="36" t="s">
        <v>21</v>
      </c>
      <c r="F14" s="104" t="s">
        <v>44</v>
      </c>
      <c r="G14" s="104" t="s">
        <v>44</v>
      </c>
      <c r="H14" s="33" t="s">
        <v>28</v>
      </c>
      <c r="I14" s="104" t="s">
        <v>102</v>
      </c>
      <c r="J14" s="327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45918</v>
      </c>
      <c r="C15" s="104" t="s">
        <v>23</v>
      </c>
      <c r="D15" s="33" t="s">
        <v>38</v>
      </c>
      <c r="E15" s="327" t="s">
        <v>22</v>
      </c>
      <c r="F15" s="36" t="s">
        <v>42</v>
      </c>
      <c r="G15" s="36" t="s">
        <v>42</v>
      </c>
      <c r="H15" s="104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45919</v>
      </c>
      <c r="C16" s="104" t="s">
        <v>48</v>
      </c>
      <c r="D16" s="104" t="s">
        <v>48</v>
      </c>
      <c r="E16" s="154" t="s">
        <v>21</v>
      </c>
      <c r="F16" s="54" t="s">
        <v>37</v>
      </c>
      <c r="G16" s="331" t="s">
        <v>22</v>
      </c>
      <c r="H16" s="177" t="s">
        <v>46</v>
      </c>
      <c r="I16" s="129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4" t="s">
        <v>21</v>
      </c>
      <c r="I17" s="246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4" t="s">
        <v>168</v>
      </c>
      <c r="G18" s="33" t="s">
        <v>27</v>
      </c>
      <c r="H18" s="327" t="s">
        <v>22</v>
      </c>
      <c r="I18" s="119" t="s">
        <v>23</v>
      </c>
      <c r="J18" s="104" t="s">
        <v>48</v>
      </c>
      <c r="K18" s="275"/>
      <c r="L18" s="250" t="s">
        <v>97</v>
      </c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45922</v>
      </c>
      <c r="C19" s="33" t="s">
        <v>36</v>
      </c>
      <c r="D19" s="33" t="s">
        <v>36</v>
      </c>
      <c r="E19" s="32" t="s">
        <v>28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50" t="s">
        <v>97</v>
      </c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45923</v>
      </c>
      <c r="C20" s="33" t="s">
        <v>31</v>
      </c>
      <c r="D20" s="33" t="s">
        <v>31</v>
      </c>
      <c r="E20" s="104" t="s">
        <v>168</v>
      </c>
      <c r="F20" s="36" t="s">
        <v>37</v>
      </c>
      <c r="G20" s="104" t="s">
        <v>29</v>
      </c>
      <c r="H20" s="104" t="s">
        <v>44</v>
      </c>
      <c r="I20" s="33"/>
      <c r="J20" s="104" t="s">
        <v>29</v>
      </c>
      <c r="K20" s="36"/>
      <c r="L20" s="250" t="s">
        <v>196</v>
      </c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45924</v>
      </c>
      <c r="C21" s="104" t="s">
        <v>48</v>
      </c>
      <c r="D21" s="104" t="s">
        <v>48</v>
      </c>
      <c r="E21" s="327" t="s">
        <v>28</v>
      </c>
      <c r="F21" s="104" t="s">
        <v>44</v>
      </c>
      <c r="G21" s="33" t="s">
        <v>38</v>
      </c>
      <c r="H21" s="343" t="s">
        <v>102</v>
      </c>
      <c r="I21" s="32"/>
      <c r="J21" s="275"/>
      <c r="K21" s="344" t="s">
        <v>20</v>
      </c>
      <c r="L21" s="250" t="s">
        <v>40</v>
      </c>
      <c r="M21" s="30" t="s">
        <v>45</v>
      </c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45925</v>
      </c>
      <c r="C22" s="327" t="s">
        <v>22</v>
      </c>
      <c r="D22" s="327" t="s">
        <v>22</v>
      </c>
      <c r="E22" s="33" t="s">
        <v>31</v>
      </c>
      <c r="F22" s="343" t="s">
        <v>102</v>
      </c>
      <c r="G22" s="33" t="s">
        <v>36</v>
      </c>
      <c r="H22" s="104" t="s">
        <v>168</v>
      </c>
      <c r="I22" s="32"/>
      <c r="J22" s="343" t="s">
        <v>44</v>
      </c>
      <c r="K22" s="36"/>
      <c r="L22" s="250"/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347" t="s">
        <v>197</v>
      </c>
      <c r="G23" s="104" t="s">
        <v>44</v>
      </c>
      <c r="H23" s="104" t="s">
        <v>48</v>
      </c>
      <c r="I23" s="129"/>
      <c r="J23" s="42"/>
      <c r="K23" s="43"/>
      <c r="L23" s="185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4" t="s">
        <v>29</v>
      </c>
      <c r="G24" s="104" t="s">
        <v>29</v>
      </c>
      <c r="H24" s="51" t="s">
        <v>32</v>
      </c>
      <c r="I24" s="273" t="s">
        <v>168</v>
      </c>
      <c r="J24" s="42"/>
      <c r="K24" s="43"/>
      <c r="L24" s="185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4" t="s">
        <v>44</v>
      </c>
      <c r="I25" s="119" t="s">
        <v>102</v>
      </c>
      <c r="J25" s="104" t="s">
        <v>48</v>
      </c>
      <c r="K25" s="28"/>
      <c r="L25" s="276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45929</v>
      </c>
      <c r="C26" s="104" t="s">
        <v>23</v>
      </c>
      <c r="D26" s="104" t="s">
        <v>23</v>
      </c>
      <c r="E26" s="32" t="s">
        <v>28</v>
      </c>
      <c r="F26" s="33" t="s">
        <v>36</v>
      </c>
      <c r="G26" s="33" t="s">
        <v>36</v>
      </c>
      <c r="H26" s="104" t="s">
        <v>168</v>
      </c>
      <c r="I26" s="32"/>
      <c r="J26" s="358"/>
      <c r="K26" s="36"/>
      <c r="L26" s="276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343" t="s">
        <v>102</v>
      </c>
      <c r="G27" s="343" t="s">
        <v>102</v>
      </c>
      <c r="H27" s="104" t="s">
        <v>168</v>
      </c>
      <c r="I27" s="27"/>
      <c r="J27" s="358"/>
      <c r="K27" s="64"/>
      <c r="L27" s="276" t="s">
        <v>198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45931</v>
      </c>
      <c r="C28" s="190" t="s">
        <v>34</v>
      </c>
      <c r="D28" s="190" t="s">
        <v>34</v>
      </c>
      <c r="E28" s="104" t="s">
        <v>23</v>
      </c>
      <c r="F28" s="344" t="s">
        <v>20</v>
      </c>
      <c r="G28" s="104" t="s">
        <v>29</v>
      </c>
      <c r="H28" s="32" t="s">
        <v>28</v>
      </c>
      <c r="I28" s="33"/>
      <c r="J28" s="104" t="s">
        <v>29</v>
      </c>
      <c r="K28" s="33"/>
      <c r="L28" s="276" t="s">
        <v>198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45932</v>
      </c>
      <c r="C29" s="33" t="s">
        <v>38</v>
      </c>
      <c r="D29" s="33" t="s">
        <v>38</v>
      </c>
      <c r="E29" s="104" t="s">
        <v>168</v>
      </c>
      <c r="F29" s="36" t="s">
        <v>42</v>
      </c>
      <c r="G29" s="36" t="s">
        <v>42</v>
      </c>
      <c r="H29" s="343" t="s">
        <v>44</v>
      </c>
      <c r="I29" s="32"/>
      <c r="J29" s="33" t="s">
        <v>20</v>
      </c>
      <c r="K29" s="33"/>
      <c r="L29" s="276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45933</v>
      </c>
      <c r="C30" s="54" t="s">
        <v>36</v>
      </c>
      <c r="D30" s="54" t="s">
        <v>36</v>
      </c>
      <c r="E30" s="54" t="s">
        <v>20</v>
      </c>
      <c r="F30" s="104" t="s">
        <v>29</v>
      </c>
      <c r="G30" s="104" t="s">
        <v>29</v>
      </c>
      <c r="H30" s="54" t="s">
        <v>37</v>
      </c>
      <c r="I30" s="104" t="s">
        <v>168</v>
      </c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45934</v>
      </c>
      <c r="C31" s="58" t="s">
        <v>34</v>
      </c>
      <c r="D31" s="58" t="s">
        <v>34</v>
      </c>
      <c r="E31" s="104" t="s">
        <v>23</v>
      </c>
      <c r="F31" s="154" t="s">
        <v>42</v>
      </c>
      <c r="G31" s="154" t="s">
        <v>42</v>
      </c>
      <c r="H31" s="51" t="s">
        <v>32</v>
      </c>
      <c r="I31" s="119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H32" s="27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70" t="s">
        <v>53</v>
      </c>
      <c r="B33" s="370"/>
      <c r="C33" s="370"/>
      <c r="D33" s="370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71" t="s">
        <v>57</v>
      </c>
      <c r="M35" s="371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6" t="s">
        <v>64</v>
      </c>
      <c r="J36" s="366" t="s">
        <v>65</v>
      </c>
      <c r="K36" s="366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6</v>
      </c>
      <c r="F37" s="84">
        <f>COUNTIF($D$4:$D$31,"BOULAT")+COUNTIF($G$4:$G$31,"BOULAT")</f>
        <v>6</v>
      </c>
      <c r="G37" s="84">
        <f>COUNTIF($E$4:$E$31,"BOULAT")</f>
        <v>0</v>
      </c>
      <c r="H37" s="82"/>
      <c r="I37" s="86"/>
      <c r="J37" s="85">
        <f t="shared" ref="J37:J56" si="0">D37*((9*$D$35)-($F$35*9/5))-(D37*(I37*1.8))</f>
        <v>36</v>
      </c>
      <c r="K37" s="86">
        <f t="shared" ref="K37:K56" si="1">D37*((39*$D$35)-($F$35*39/5))-(I37*7.8)</f>
        <v>156</v>
      </c>
      <c r="L37" s="86">
        <f>E37*10+F37*14+G37*12</f>
        <v>144</v>
      </c>
      <c r="M37" s="240">
        <f t="shared" ref="M37:M56" si="2">L37-K37</f>
        <v>-12</v>
      </c>
    </row>
    <row r="38" spans="1:21" ht="12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4</v>
      </c>
      <c r="F38" s="84">
        <f>COUNTIF($D$4:$D$31,"BRUGIROUX")+COUNTIF($G$4:$G$31,"BRUGIROUX")</f>
        <v>5</v>
      </c>
      <c r="G38" s="84">
        <f>COUNTIF($E$4:$E$31,"BRUGIROUX")</f>
        <v>0</v>
      </c>
      <c r="H38" s="84">
        <f>COUNTIF($K$4:$K$31,"BRUGIROUX")</f>
        <v>0</v>
      </c>
      <c r="I38" s="86">
        <v>10</v>
      </c>
      <c r="J38" s="85">
        <f t="shared" si="0"/>
        <v>18</v>
      </c>
      <c r="K38" s="86">
        <f t="shared" si="1"/>
        <v>78</v>
      </c>
      <c r="L38" s="86">
        <f>E38*10+F38*14+G38*12+H38*10</f>
        <v>110</v>
      </c>
      <c r="M38" s="238">
        <f t="shared" si="2"/>
        <v>32</v>
      </c>
    </row>
    <row r="39" spans="1:21" ht="12" customHeight="1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4</v>
      </c>
      <c r="F39" s="84">
        <f>COUNTIF($D$4:$D$31,"CAUVY")+COUNTIF($G$4:$G$31,"CAUVY")</f>
        <v>0</v>
      </c>
      <c r="G39" s="84">
        <f>COUNTIF($E$4:$E$31,"CAUVY")</f>
        <v>4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88</v>
      </c>
      <c r="M39" s="238">
        <f t="shared" si="2"/>
        <v>10</v>
      </c>
    </row>
    <row r="40" spans="1:21" ht="12" customHeight="1">
      <c r="A40" s="73"/>
      <c r="B40" s="73"/>
      <c r="C40" s="82" t="s">
        <v>31</v>
      </c>
      <c r="D40" s="278">
        <v>0.8</v>
      </c>
      <c r="E40" s="84">
        <f>COUNTIF($C$4:$C$31,"FONTAINE")+COUNTIF($H$4:$H$31,"FONTAINE")+COUNTIF($J$4:$J$31,"FONTAINE")+COUNTIF($F$4:$F$31,"FONTAINE")</f>
        <v>4</v>
      </c>
      <c r="F40" s="84">
        <f>COUNTIF($D$4:$D$31,"FONTAINE")+COUNTIF($G$4:$G$31,"FONTAINE")</f>
        <v>4</v>
      </c>
      <c r="G40" s="84">
        <f>COUNTIF($E$4:$E$31,"FONTAINE")</f>
        <v>3</v>
      </c>
      <c r="H40" s="82"/>
      <c r="I40" s="86">
        <v>3</v>
      </c>
      <c r="J40" s="85">
        <f t="shared" si="0"/>
        <v>24.48</v>
      </c>
      <c r="K40" s="86">
        <f t="shared" si="1"/>
        <v>101.4</v>
      </c>
      <c r="L40" s="86">
        <f>E40*10+F40*14+G40*12</f>
        <v>132</v>
      </c>
      <c r="M40" s="238">
        <f t="shared" si="2"/>
        <v>30.599999999999994</v>
      </c>
    </row>
    <row r="41" spans="1:21" ht="12" customHeight="1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5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114</v>
      </c>
      <c r="M41" s="238">
        <f t="shared" si="2"/>
        <v>20.400000000000006</v>
      </c>
      <c r="N41" s="3"/>
    </row>
    <row r="42" spans="1:21" ht="12" customHeight="1">
      <c r="A42" s="3"/>
      <c r="B42" s="3"/>
      <c r="C42" s="86" t="s">
        <v>42</v>
      </c>
      <c r="D42" s="279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1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132</v>
      </c>
      <c r="M42" s="240">
        <f t="shared" si="2"/>
        <v>-24</v>
      </c>
      <c r="N42" s="3"/>
    </row>
    <row r="43" spans="1:21" ht="12" customHeight="1">
      <c r="A43" s="3"/>
      <c r="B43" s="3"/>
      <c r="C43" s="86" t="s">
        <v>47</v>
      </c>
      <c r="D43" s="279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0</v>
      </c>
      <c r="H43" s="86"/>
      <c r="I43" s="86"/>
      <c r="J43" s="85">
        <f t="shared" si="0"/>
        <v>18</v>
      </c>
      <c r="K43" s="86">
        <f t="shared" si="1"/>
        <v>78</v>
      </c>
      <c r="L43" s="86">
        <f>E43*10+F43*14+G43*12</f>
        <v>0</v>
      </c>
      <c r="M43" s="240">
        <f t="shared" si="2"/>
        <v>-78</v>
      </c>
      <c r="N43" s="3"/>
    </row>
    <row r="44" spans="1:21" ht="12.75" customHeight="1">
      <c r="A44" s="3"/>
      <c r="B44" s="3"/>
      <c r="C44" s="86" t="s">
        <v>20</v>
      </c>
      <c r="D44" s="279">
        <v>1</v>
      </c>
      <c r="E44" s="84">
        <f>COUNTIF($C$4:$C$31,"TORREGROSSA")+COUNTIF($H$4:$H$31,"TORREGROSSA")+COUNTIF($F$4:$F$31,"TORREGROSSA")+COUNTIF($J$4:$J$31,"TORREGROSSA")</f>
        <v>5</v>
      </c>
      <c r="F44" s="84">
        <f>COUNTIF($D$4:$D$31,"TORREGROSSA")+COUNTIF($G$4:$G$31,"TORREGROSSA")</f>
        <v>2</v>
      </c>
      <c r="G44" s="84">
        <f>COUNTIF($E$4:$E$31,"TORREGROSSA")</f>
        <v>1</v>
      </c>
      <c r="H44" s="84">
        <f>COUNTIF($K$4:$K$31,"TORREGROSSA")</f>
        <v>1</v>
      </c>
      <c r="I44" s="86">
        <v>8</v>
      </c>
      <c r="J44" s="85">
        <f t="shared" si="0"/>
        <v>21.6</v>
      </c>
      <c r="K44" s="86">
        <f t="shared" si="1"/>
        <v>93.6</v>
      </c>
      <c r="L44" s="86">
        <f>E44*10+F44*14+G44*12+H44*10</f>
        <v>100</v>
      </c>
      <c r="M44" s="238">
        <f t="shared" si="2"/>
        <v>6.4000000000000057</v>
      </c>
      <c r="N44" s="3"/>
    </row>
    <row r="45" spans="1:21" ht="12.75" customHeight="1">
      <c r="A45" s="3"/>
      <c r="B45" s="3"/>
      <c r="C45" s="86" t="s">
        <v>19</v>
      </c>
      <c r="D45" s="279">
        <v>0.4</v>
      </c>
      <c r="E45" s="84">
        <f>COUNTIF($C$4:$C$31,"BALLOT")+COUNTIF($H$4:$H$31,"BALLOT")+COUNTIF($F$4:$F$31,"BALLOT")+COUNTIF($J$4:$J$31,"BALLOT")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5</v>
      </c>
      <c r="H45" s="84"/>
      <c r="I45" s="86"/>
      <c r="J45" s="85">
        <f t="shared" si="0"/>
        <v>14.4</v>
      </c>
      <c r="K45" s="86">
        <f t="shared" si="1"/>
        <v>62.400000000000006</v>
      </c>
      <c r="L45" s="86">
        <f t="shared" ref="L45:L56" si="3">E45*10+F45*14+G45*12</f>
        <v>60</v>
      </c>
      <c r="M45" s="240">
        <f t="shared" si="2"/>
        <v>-2.4000000000000057</v>
      </c>
      <c r="N45" s="3"/>
    </row>
    <row r="46" spans="1:21" ht="12" customHeight="1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0"/>
        <v>14.4</v>
      </c>
      <c r="K46" s="86">
        <f t="shared" si="1"/>
        <v>62.400000000000006</v>
      </c>
      <c r="L46" s="86">
        <f t="shared" si="3"/>
        <v>60</v>
      </c>
      <c r="M46" s="240">
        <f t="shared" si="2"/>
        <v>-2.4000000000000057</v>
      </c>
      <c r="N46" s="3"/>
    </row>
    <row r="47" spans="1:21" ht="12" customHeight="1">
      <c r="A47" s="3"/>
      <c r="B47" s="3"/>
      <c r="C47" s="86" t="s">
        <v>27</v>
      </c>
      <c r="D47" s="279">
        <v>0.8</v>
      </c>
      <c r="E47" s="84">
        <f>COUNTIF($C$4:$C$31,"RACHIDI")+COUNTIF($H$4:$H$31,"RACHIDI")+COUNTIF($F$4:$F$31,"RACHIDI")+COUNTIF($J$4:$J$31,"RACHIDI")</f>
        <v>5</v>
      </c>
      <c r="F47" s="84">
        <f>COUNTIF($D$4:$D$31,"RACHIDI")+COUNTIF($G$4:$G$31,"RACHIDI")</f>
        <v>7</v>
      </c>
      <c r="G47" s="84">
        <f>COUNTIF($E$4:$E$31,"RACHIDI")</f>
        <v>0</v>
      </c>
      <c r="H47" s="84"/>
      <c r="I47" s="86"/>
      <c r="J47" s="85">
        <f t="shared" si="0"/>
        <v>28.8</v>
      </c>
      <c r="K47" s="86">
        <f t="shared" si="1"/>
        <v>124.80000000000001</v>
      </c>
      <c r="L47" s="86">
        <f t="shared" si="3"/>
        <v>148</v>
      </c>
      <c r="M47" s="238">
        <f t="shared" si="2"/>
        <v>23.199999999999989</v>
      </c>
      <c r="N47" s="3"/>
    </row>
    <row r="48" spans="1:21" ht="12" customHeight="1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3</v>
      </c>
      <c r="F48" s="84">
        <f>COUNTIF($D$4:$D$31,"ZEBICHE")+COUNTIF($G$4:$G$31,"ZEBICHE")</f>
        <v>2</v>
      </c>
      <c r="G48" s="84">
        <f>COUNTIF($E$4:$E$31,"ZEBICHE")</f>
        <v>0</v>
      </c>
      <c r="H48" s="84"/>
      <c r="I48" s="86">
        <v>10</v>
      </c>
      <c r="J48" s="85">
        <f t="shared" si="0"/>
        <v>18</v>
      </c>
      <c r="K48" s="86">
        <f t="shared" si="1"/>
        <v>78</v>
      </c>
      <c r="L48" s="86">
        <f t="shared" si="3"/>
        <v>58</v>
      </c>
      <c r="M48" s="238">
        <f t="shared" si="2"/>
        <v>-20</v>
      </c>
    </row>
    <row r="49" spans="1:21" ht="12" customHeight="1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COUNTIF($C$4:$C$31,"HACHIMI")+COUNTIF($I$4:$I$31,"HACHIMI")+COUNTIF($H$4:$H$31,"HACHIMI")+COUNTIF($F$4:$F$31,"HACHIMI")+D58+COUNTIF($J$4:$J$31,"HACHIMI")</f>
        <v>7</v>
      </c>
      <c r="F49" s="84">
        <f>COUNTIF($D$4:$D$31,"HACHIMI")+COUNTIF($I$4:$I$31,"HACHIMI")+COUNTIF($G$4:$G$31,"HACHIMI")</f>
        <v>5</v>
      </c>
      <c r="G49" s="84">
        <f>COUNTIF($E$4:$E$31,"HACHIMI")</f>
        <v>1</v>
      </c>
      <c r="H49" s="84"/>
      <c r="I49" s="86">
        <v>5</v>
      </c>
      <c r="J49" s="85">
        <f t="shared" si="0"/>
        <v>27</v>
      </c>
      <c r="K49" s="86">
        <f t="shared" si="1"/>
        <v>117</v>
      </c>
      <c r="L49" s="86">
        <f t="shared" si="3"/>
        <v>152</v>
      </c>
      <c r="M49" s="238">
        <f t="shared" si="2"/>
        <v>35</v>
      </c>
    </row>
    <row r="50" spans="1:21" ht="12" customHeight="1">
      <c r="A50" s="3"/>
      <c r="B50" s="72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4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>
        <v>10</v>
      </c>
      <c r="J50" s="85">
        <f t="shared" si="0"/>
        <v>18</v>
      </c>
      <c r="K50" s="86">
        <f t="shared" si="1"/>
        <v>78</v>
      </c>
      <c r="L50" s="86">
        <f t="shared" si="3"/>
        <v>96</v>
      </c>
      <c r="M50" s="238">
        <f t="shared" si="2"/>
        <v>18</v>
      </c>
    </row>
    <row r="51" spans="1:21" ht="12" customHeight="1">
      <c r="A51" s="3"/>
      <c r="B51" s="96"/>
      <c r="C51" s="86" t="s">
        <v>48</v>
      </c>
      <c r="D51" s="279">
        <v>1</v>
      </c>
      <c r="E51" s="84">
        <f>COUNTIF($C$4:$C$31,"AFZAL")+COUNTIF($I$4:$I$31,"AFZAL")+COUNTIF($H$4:$H$31,"AFZAL")+COUNTIF($F$4:$F$31,"AFZAL")+COUNTIF($J$4:$J$31,"AFZAL")+D60</f>
        <v>10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0</v>
      </c>
      <c r="J51" s="85">
        <f t="shared" si="0"/>
        <v>36</v>
      </c>
      <c r="K51" s="86">
        <f t="shared" si="1"/>
        <v>156</v>
      </c>
      <c r="L51" s="86">
        <f t="shared" si="3"/>
        <v>168</v>
      </c>
      <c r="M51" s="238">
        <f t="shared" si="2"/>
        <v>12</v>
      </c>
      <c r="N51" s="57"/>
    </row>
    <row r="52" spans="1:21" ht="12" customHeight="1">
      <c r="A52" s="3"/>
      <c r="B52" s="96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9</v>
      </c>
      <c r="F52" s="84">
        <f>COUNTIF($D$4:$D$31,"IBRAHIM")+COUNTIF($I$4:$I$31,"IBRAHIM")+COUNTIF($G$4:$G$31,"IBRAHIM")</f>
        <v>5</v>
      </c>
      <c r="G52" s="84">
        <f>COUNTIF($E$4:$E$31,"IBRAHIM")</f>
        <v>1</v>
      </c>
      <c r="H52" s="84"/>
      <c r="I52" s="86"/>
      <c r="J52" s="85">
        <f t="shared" si="0"/>
        <v>36</v>
      </c>
      <c r="K52" s="86">
        <f t="shared" si="1"/>
        <v>156</v>
      </c>
      <c r="L52" s="86">
        <f t="shared" si="3"/>
        <v>172</v>
      </c>
      <c r="M52" s="238">
        <f t="shared" si="2"/>
        <v>16</v>
      </c>
      <c r="N52" s="57"/>
    </row>
    <row r="53" spans="1:21" ht="12" customHeight="1">
      <c r="A53" s="3"/>
      <c r="B53" s="96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>
        <v>3</v>
      </c>
      <c r="J53" s="85">
        <f t="shared" si="0"/>
        <v>30.6</v>
      </c>
      <c r="K53" s="86">
        <f t="shared" si="1"/>
        <v>132.6</v>
      </c>
      <c r="L53" s="86">
        <f t="shared" si="3"/>
        <v>162</v>
      </c>
      <c r="M53" s="238">
        <f t="shared" si="2"/>
        <v>29.400000000000006</v>
      </c>
      <c r="N53" s="57"/>
    </row>
    <row r="54" spans="1:21" ht="12" customHeight="1">
      <c r="A54" s="3"/>
      <c r="B54" s="96"/>
      <c r="C54" s="86" t="s">
        <v>32</v>
      </c>
      <c r="D54" s="279">
        <v>1</v>
      </c>
      <c r="E54" s="280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2</v>
      </c>
      <c r="G54" s="84">
        <f>COUNTIF($E$4:$E$31,"RADO")</f>
        <v>0</v>
      </c>
      <c r="H54" s="84"/>
      <c r="I54" s="86">
        <v>4</v>
      </c>
      <c r="J54" s="85">
        <f t="shared" si="0"/>
        <v>28.8</v>
      </c>
      <c r="K54" s="86">
        <f t="shared" si="1"/>
        <v>124.8</v>
      </c>
      <c r="L54" s="86">
        <f t="shared" si="3"/>
        <v>168</v>
      </c>
      <c r="M54" s="238">
        <f t="shared" si="2"/>
        <v>43.2</v>
      </c>
      <c r="N54" s="57"/>
    </row>
    <row r="55" spans="1:21" ht="12" customHeight="1">
      <c r="A55" s="3"/>
      <c r="B55" s="96"/>
      <c r="C55" s="86" t="s">
        <v>102</v>
      </c>
      <c r="D55" s="279">
        <v>1</v>
      </c>
      <c r="E55" s="280">
        <f>COUNTIF($C$4:$C$31,"TODY")+COUNTIF($I$4:$I$31,"TODY")+COUNTIF($H$4:$H$31,"TODY")+COUNTIF($F$4:$F$31,"TODY")+D64+COUNTIF($J$4:$J$31,"TODY")</f>
        <v>13</v>
      </c>
      <c r="F55" s="84">
        <f>COUNTIF($D$4:$D$31,"TODY")+COUNTIF($I$4:$I$31,"TODY")+COUNTIF($G$4:$G$31,"TODY")</f>
        <v>6</v>
      </c>
      <c r="G55" s="84">
        <f>COUNTIF($E$4:$E$31,"TODY")</f>
        <v>1</v>
      </c>
      <c r="H55" s="84"/>
      <c r="I55" s="86">
        <v>3</v>
      </c>
      <c r="J55" s="85">
        <f t="shared" si="0"/>
        <v>30.6</v>
      </c>
      <c r="K55" s="86">
        <f t="shared" si="1"/>
        <v>132.6</v>
      </c>
      <c r="L55" s="86">
        <f t="shared" si="3"/>
        <v>226</v>
      </c>
      <c r="M55" s="238">
        <f t="shared" si="2"/>
        <v>93.4</v>
      </c>
      <c r="N55" s="57"/>
    </row>
    <row r="56" spans="1:21" ht="12" customHeight="1">
      <c r="A56" s="3"/>
      <c r="B56" s="96"/>
      <c r="C56" s="86" t="s">
        <v>168</v>
      </c>
      <c r="D56" s="279">
        <v>1</v>
      </c>
      <c r="E56" s="280">
        <f>COUNTIF($C$4:$C$31,"RODRIGUE")+COUNTIF($I$4:$I$31,"RODRIGUE")+COUNTIF($H$4:$H$31,"RODRIGUE")+COUNTIF($F$4:$F$31,"RODRIGUE")+D65+COUNTIF($J$4:$J$31,"RODRIGUE")</f>
        <v>14</v>
      </c>
      <c r="F56" s="84">
        <f>COUNTIF($D$4:$D$31,"RODRIGUE")+COUNTIF($I$4:$I$31,"RODRIGUE")+COUNTIF($G$4:$G$31,"RODRIGUE")</f>
        <v>4</v>
      </c>
      <c r="G56" s="84">
        <f>COUNTIF($E$4:$E$31,"RODRIGUE")</f>
        <v>2</v>
      </c>
      <c r="H56" s="84"/>
      <c r="I56" s="86">
        <v>3</v>
      </c>
      <c r="J56" s="85">
        <f t="shared" si="0"/>
        <v>30.6</v>
      </c>
      <c r="K56" s="86">
        <f t="shared" si="1"/>
        <v>132.6</v>
      </c>
      <c r="L56" s="86">
        <f t="shared" si="3"/>
        <v>220</v>
      </c>
      <c r="M56" s="238">
        <f t="shared" si="2"/>
        <v>87.4</v>
      </c>
      <c r="N56" s="57"/>
    </row>
    <row r="57" spans="1:21" ht="12" customHeight="1">
      <c r="A57" s="3"/>
      <c r="B57" s="96"/>
      <c r="C57" s="98" t="s">
        <v>71</v>
      </c>
      <c r="D57" s="98"/>
      <c r="E57" s="31"/>
      <c r="F57" s="99"/>
      <c r="G57" s="96"/>
      <c r="H57" s="100"/>
      <c r="I57" s="100"/>
      <c r="J57" s="101"/>
      <c r="K57" s="100"/>
      <c r="L57" s="57"/>
      <c r="M57" s="57"/>
      <c r="N57" s="57"/>
      <c r="O57" s="57"/>
    </row>
    <row r="58" spans="1:21" ht="12" customHeight="1">
      <c r="A58" s="3"/>
      <c r="B58" s="96"/>
      <c r="C58" s="86" t="s">
        <v>22</v>
      </c>
      <c r="D58" s="102"/>
      <c r="E58" s="31"/>
      <c r="F58" s="99"/>
      <c r="G58" s="96"/>
      <c r="H58" s="100"/>
      <c r="I58" s="100"/>
      <c r="J58" s="100"/>
      <c r="K58" s="100"/>
      <c r="L58" s="57"/>
      <c r="M58" s="57"/>
      <c r="N58" s="57"/>
      <c r="O58" s="57"/>
    </row>
    <row r="59" spans="1:21" ht="12" customHeight="1">
      <c r="A59" s="3"/>
      <c r="B59" s="31"/>
      <c r="C59" s="86" t="s">
        <v>29</v>
      </c>
      <c r="D59" s="102"/>
      <c r="E59" s="31"/>
      <c r="F59" s="99"/>
      <c r="G59" s="31"/>
      <c r="H59" s="100"/>
      <c r="I59" s="100"/>
      <c r="J59" s="100"/>
      <c r="K59" s="100"/>
      <c r="L59" s="57"/>
      <c r="M59" s="57"/>
      <c r="N59" s="57"/>
      <c r="O59" s="57"/>
    </row>
    <row r="60" spans="1:21" ht="12" customHeight="1">
      <c r="A60" s="3"/>
      <c r="B60" s="31"/>
      <c r="C60" s="86" t="s">
        <v>48</v>
      </c>
      <c r="D60" s="102"/>
      <c r="E60" s="31"/>
      <c r="F60" s="99"/>
      <c r="G60" s="31"/>
      <c r="H60" s="100"/>
      <c r="I60" s="100"/>
      <c r="J60" s="100"/>
      <c r="K60" s="100"/>
      <c r="L60" s="57"/>
      <c r="M60" s="57"/>
      <c r="N60" s="57"/>
      <c r="O60" s="57"/>
    </row>
    <row r="61" spans="1:21" ht="12" customHeight="1">
      <c r="A61" s="3"/>
      <c r="B61" s="31"/>
      <c r="C61" s="86" t="s">
        <v>44</v>
      </c>
      <c r="D61" s="102"/>
      <c r="E61" s="31"/>
      <c r="F61" s="99"/>
      <c r="G61" s="31"/>
      <c r="H61" s="101"/>
      <c r="I61" s="101"/>
      <c r="J61" s="101"/>
      <c r="K61" s="100"/>
      <c r="L61" s="57"/>
      <c r="M61" s="57"/>
      <c r="N61" s="57"/>
      <c r="O61" s="57"/>
    </row>
    <row r="62" spans="1:21" ht="12" customHeight="1">
      <c r="A62" s="3"/>
      <c r="B62" s="31"/>
      <c r="C62" s="86" t="s">
        <v>23</v>
      </c>
      <c r="D62" s="102"/>
      <c r="E62" s="31"/>
      <c r="F62" s="99"/>
      <c r="G62" s="31"/>
      <c r="H62" s="100"/>
      <c r="I62" s="100"/>
      <c r="J62" s="100"/>
      <c r="K62" s="100"/>
      <c r="L62" s="57"/>
      <c r="M62" s="57"/>
      <c r="N62" s="57"/>
      <c r="O62" s="57"/>
    </row>
    <row r="63" spans="1:21" ht="12" customHeight="1">
      <c r="A63" s="3"/>
      <c r="B63" s="31"/>
      <c r="C63" s="86" t="s">
        <v>32</v>
      </c>
      <c r="D63" s="102">
        <v>10</v>
      </c>
      <c r="E63" s="31"/>
      <c r="F63" s="99"/>
      <c r="G63" s="31"/>
      <c r="H63" s="100"/>
      <c r="I63" s="100"/>
      <c r="J63" s="100"/>
      <c r="K63" s="100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>
      <c r="A64" s="3"/>
      <c r="B64" s="31"/>
      <c r="C64" s="86" t="s">
        <v>102</v>
      </c>
      <c r="D64" s="102">
        <v>4</v>
      </c>
      <c r="E64" s="31"/>
      <c r="F64" s="99"/>
      <c r="G64" s="31"/>
      <c r="H64" s="100"/>
      <c r="I64" s="100"/>
      <c r="J64" s="100"/>
      <c r="K64" s="100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>
      <c r="A65" s="3"/>
      <c r="B65" s="31"/>
      <c r="C65" s="86" t="s">
        <v>168</v>
      </c>
      <c r="D65" s="102">
        <v>3</v>
      </c>
      <c r="E65" s="31"/>
      <c r="F65" s="99"/>
      <c r="G65" s="31"/>
      <c r="H65" s="100"/>
      <c r="I65" s="100"/>
      <c r="J65" s="100"/>
      <c r="K65" s="100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1"/>
      <c r="K66" s="100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"/>
      <c r="B67" s="31"/>
      <c r="C67" s="100"/>
      <c r="D67" s="100"/>
      <c r="E67" s="100"/>
      <c r="F67" s="100"/>
      <c r="G67" s="100"/>
      <c r="H67" s="31"/>
      <c r="I67" s="103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P835" s="3"/>
      <c r="Q835" s="3"/>
      <c r="R835" s="3"/>
      <c r="S835" s="3"/>
      <c r="T835" s="3"/>
      <c r="U835" s="3"/>
    </row>
    <row r="836" spans="11:21" ht="12" customHeight="1">
      <c r="P836" s="3"/>
      <c r="Q836" s="3"/>
      <c r="R836" s="3"/>
      <c r="S836" s="3"/>
      <c r="T836" s="3"/>
      <c r="U836" s="3"/>
    </row>
    <row r="837" spans="11:21" ht="12" customHeight="1"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E31:K31 C8:E8 G8:L8 E9:L10 E11:H11 K18:K26 C12:H13 C14:C19 E14:H15 K15:L15 D16:L16 H19:H23 J17:L17 F18:H18 H24:J25 G19:G20 E20:F20 C21:F21 C22:D22 F22:G25 E7:H7 H28 I14 C25:D28 D17:E19 J28:K28 H29:K29 J5:L7 D30:K30 H17 I18:J23 E28:G29 E26:J27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topLeftCell="H32" zoomScale="112" zoomScaleNormal="112" workbookViewId="0">
      <selection activeCell="E24" sqref="E2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6.5" style="1" customWidth="1"/>
    <col min="9" max="9" width="14" style="2" customWidth="1"/>
    <col min="10" max="10" width="14" style="1" customWidth="1"/>
    <col min="11" max="11" width="12.875" style="1" customWidth="1"/>
    <col min="12" max="12" width="13.375" style="1" customWidth="1"/>
    <col min="13" max="13" width="9.375" style="1" customWidth="1"/>
    <col min="14" max="14" width="22.875" style="1" customWidth="1"/>
    <col min="15" max="15" width="6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67" t="s">
        <v>199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68" t="s">
        <v>1</v>
      </c>
      <c r="D2" s="368"/>
      <c r="E2" s="4" t="s">
        <v>2</v>
      </c>
      <c r="F2" s="369" t="s">
        <v>3</v>
      </c>
      <c r="G2" s="369"/>
      <c r="H2" s="5"/>
      <c r="I2" s="6"/>
      <c r="J2" s="370" t="s">
        <v>4</v>
      </c>
      <c r="K2" s="370"/>
      <c r="L2" s="370"/>
      <c r="M2" s="370"/>
      <c r="N2" s="370"/>
      <c r="O2" s="370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202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29</v>
      </c>
      <c r="G4" s="51" t="s">
        <v>29</v>
      </c>
      <c r="H4" s="36" t="s">
        <v>21</v>
      </c>
      <c r="I4" s="119" t="s">
        <v>44</v>
      </c>
      <c r="J4" s="190" t="s">
        <v>31</v>
      </c>
      <c r="K4" s="346" t="s">
        <v>20</v>
      </c>
      <c r="L4" s="172" t="s">
        <v>203</v>
      </c>
      <c r="M4" s="30"/>
      <c r="N4" s="28" t="s">
        <v>204</v>
      </c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45936</v>
      </c>
      <c r="C5" s="281" t="s">
        <v>34</v>
      </c>
      <c r="D5" s="281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2" t="s">
        <v>20</v>
      </c>
      <c r="K5" s="32"/>
      <c r="L5" s="172" t="s">
        <v>203</v>
      </c>
      <c r="M5" s="34"/>
      <c r="N5" s="28" t="s">
        <v>204</v>
      </c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45937</v>
      </c>
      <c r="C6" s="190" t="s">
        <v>31</v>
      </c>
      <c r="D6" s="190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2" t="s">
        <v>205</v>
      </c>
      <c r="M6" s="172"/>
      <c r="N6" s="49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/>
      <c r="L7" s="172" t="s">
        <v>205</v>
      </c>
      <c r="M7" s="172"/>
      <c r="N7" s="49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45939</v>
      </c>
      <c r="C8" s="281" t="s">
        <v>36</v>
      </c>
      <c r="D8" s="281" t="s">
        <v>36</v>
      </c>
      <c r="E8" s="48" t="s">
        <v>47</v>
      </c>
      <c r="F8" s="326" t="s">
        <v>22</v>
      </c>
      <c r="G8" s="190" t="s">
        <v>31</v>
      </c>
      <c r="H8" s="36" t="s">
        <v>21</v>
      </c>
      <c r="I8" s="345" t="s">
        <v>102</v>
      </c>
      <c r="J8" s="51" t="s">
        <v>29</v>
      </c>
      <c r="K8" s="52"/>
      <c r="L8" s="172" t="s">
        <v>205</v>
      </c>
      <c r="M8" s="34"/>
      <c r="N8" s="49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9"/>
      <c r="J9" s="42"/>
      <c r="K9" s="43"/>
      <c r="L9" s="44"/>
      <c r="M9" s="154" t="s">
        <v>45</v>
      </c>
      <c r="N9" s="178"/>
      <c r="O9" s="315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45941</v>
      </c>
      <c r="C10" s="229" t="s">
        <v>36</v>
      </c>
      <c r="D10" s="229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4" t="s">
        <v>45</v>
      </c>
      <c r="N10" s="178"/>
      <c r="O10" s="315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326" t="s">
        <v>22</v>
      </c>
      <c r="H11" s="326" t="s">
        <v>22</v>
      </c>
      <c r="I11" s="119" t="s">
        <v>102</v>
      </c>
      <c r="J11" s="33"/>
      <c r="K11" s="28"/>
      <c r="L11" s="172" t="s">
        <v>206</v>
      </c>
      <c r="M11" s="36" t="s">
        <v>45</v>
      </c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2" t="s">
        <v>206</v>
      </c>
      <c r="M12" s="36" t="s">
        <v>45</v>
      </c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>
      <c r="A13" s="21" t="s">
        <v>30</v>
      </c>
      <c r="B13" s="22">
        <v>45944</v>
      </c>
      <c r="C13" s="190" t="s">
        <v>31</v>
      </c>
      <c r="D13" s="190" t="s">
        <v>31</v>
      </c>
      <c r="E13" s="51" t="s">
        <v>29</v>
      </c>
      <c r="F13" s="32" t="s">
        <v>37</v>
      </c>
      <c r="G13" s="281" t="s">
        <v>36</v>
      </c>
      <c r="H13" s="51" t="s">
        <v>44</v>
      </c>
      <c r="I13" s="32"/>
      <c r="J13" s="52"/>
      <c r="K13" s="32"/>
      <c r="L13" s="172" t="s">
        <v>206</v>
      </c>
      <c r="M13" s="36" t="s">
        <v>45</v>
      </c>
      <c r="N13" s="181"/>
      <c r="O13" s="314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2" t="s">
        <v>206</v>
      </c>
      <c r="M14" s="36" t="s">
        <v>45</v>
      </c>
      <c r="N14" s="181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326" t="s">
        <v>22</v>
      </c>
      <c r="G15" s="52" t="s">
        <v>42</v>
      </c>
      <c r="H15" s="52" t="s">
        <v>42</v>
      </c>
      <c r="I15" s="32"/>
      <c r="J15" s="190"/>
      <c r="K15" s="28"/>
      <c r="L15" s="172" t="s">
        <v>206</v>
      </c>
      <c r="M15" s="36" t="s">
        <v>45</v>
      </c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45947</v>
      </c>
      <c r="C16" s="229" t="s">
        <v>31</v>
      </c>
      <c r="D16" s="39" t="s">
        <v>31</v>
      </c>
      <c r="E16" s="58" t="s">
        <v>47</v>
      </c>
      <c r="F16" s="229" t="s">
        <v>36</v>
      </c>
      <c r="G16" s="229" t="s">
        <v>36</v>
      </c>
      <c r="H16" s="360" t="s">
        <v>22</v>
      </c>
      <c r="I16" s="129"/>
      <c r="J16" s="42"/>
      <c r="K16" s="43"/>
      <c r="L16" s="44"/>
      <c r="M16" s="154" t="s">
        <v>45</v>
      </c>
      <c r="N16" s="55"/>
      <c r="O16" s="316"/>
      <c r="P16" s="111" t="s">
        <v>76</v>
      </c>
      <c r="Q16" s="109" t="s">
        <v>76</v>
      </c>
      <c r="R16" s="3"/>
      <c r="S16" s="3"/>
      <c r="T16" s="3"/>
    </row>
    <row r="17" spans="1:24" ht="12.75" customHeight="1">
      <c r="A17" s="37" t="s">
        <v>43</v>
      </c>
      <c r="B17" s="38">
        <v>45948</v>
      </c>
      <c r="C17" s="282" t="s">
        <v>38</v>
      </c>
      <c r="D17" s="282" t="s">
        <v>38</v>
      </c>
      <c r="E17" s="177" t="s">
        <v>46</v>
      </c>
      <c r="F17" s="39" t="s">
        <v>27</v>
      </c>
      <c r="G17" s="39" t="s">
        <v>27</v>
      </c>
      <c r="H17" s="348" t="s">
        <v>197</v>
      </c>
      <c r="I17" s="45" t="s">
        <v>23</v>
      </c>
      <c r="J17" s="42"/>
      <c r="K17" s="43"/>
      <c r="L17" s="44"/>
      <c r="M17" s="154" t="s">
        <v>45</v>
      </c>
      <c r="N17" s="55"/>
      <c r="O17" s="135"/>
      <c r="P17" s="111" t="s">
        <v>77</v>
      </c>
      <c r="Q17" s="109" t="s">
        <v>77</v>
      </c>
      <c r="R17" s="3"/>
      <c r="S17" s="3"/>
      <c r="T17" s="3"/>
    </row>
    <row r="18" spans="1:24" ht="12.75" customHeight="1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52" t="s">
        <v>20</v>
      </c>
      <c r="H18" s="51" t="s">
        <v>32</v>
      </c>
      <c r="I18" s="45" t="s">
        <v>168</v>
      </c>
      <c r="J18" s="326" t="s">
        <v>22</v>
      </c>
      <c r="K18" s="32"/>
      <c r="L18" s="30" t="s">
        <v>207</v>
      </c>
      <c r="M18" s="30"/>
      <c r="N18" s="30"/>
      <c r="O18" s="28"/>
      <c r="P18" s="111" t="s">
        <v>79</v>
      </c>
      <c r="Q18" s="109" t="s">
        <v>79</v>
      </c>
      <c r="R18" s="3"/>
      <c r="S18" s="3"/>
      <c r="T18" s="3"/>
    </row>
    <row r="19" spans="1:24" ht="12.75" customHeight="1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44</v>
      </c>
      <c r="F19" s="51" t="s">
        <v>102</v>
      </c>
      <c r="G19" s="51" t="s">
        <v>102</v>
      </c>
      <c r="H19" s="51" t="s">
        <v>48</v>
      </c>
      <c r="I19" s="32"/>
      <c r="J19" s="326" t="s">
        <v>22</v>
      </c>
      <c r="K19" s="32"/>
      <c r="L19" s="30" t="s">
        <v>207</v>
      </c>
      <c r="M19" s="30"/>
      <c r="N19" s="30"/>
      <c r="O19" s="28"/>
      <c r="P19" s="111" t="s">
        <v>77</v>
      </c>
      <c r="Q19" s="109" t="s">
        <v>77</v>
      </c>
      <c r="R19" s="3"/>
      <c r="S19" s="3"/>
      <c r="T19" s="3"/>
      <c r="U19" s="192"/>
    </row>
    <row r="20" spans="1:24" ht="12.75" customHeight="1">
      <c r="A20" s="21" t="s">
        <v>30</v>
      </c>
      <c r="B20" s="22">
        <v>45951</v>
      </c>
      <c r="C20" s="33" t="s">
        <v>38</v>
      </c>
      <c r="D20" s="33" t="s">
        <v>38</v>
      </c>
      <c r="E20" s="333"/>
      <c r="F20" s="190" t="s">
        <v>31</v>
      </c>
      <c r="G20" s="190" t="s">
        <v>31</v>
      </c>
      <c r="H20" s="36" t="s">
        <v>37</v>
      </c>
      <c r="I20" s="32"/>
      <c r="J20" s="51" t="s">
        <v>29</v>
      </c>
      <c r="K20" s="32"/>
      <c r="L20" s="30" t="s">
        <v>207</v>
      </c>
      <c r="M20" s="30"/>
      <c r="N20" s="30"/>
      <c r="O20" s="28"/>
      <c r="P20" s="111" t="s">
        <v>80</v>
      </c>
      <c r="Q20" s="109" t="s">
        <v>80</v>
      </c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23</v>
      </c>
      <c r="F21" s="281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1" t="s">
        <v>79</v>
      </c>
      <c r="Q21" s="109" t="s">
        <v>79</v>
      </c>
      <c r="R21" s="3"/>
      <c r="S21" s="3"/>
      <c r="T21" s="3"/>
    </row>
    <row r="22" spans="1:24" ht="12.75" customHeight="1">
      <c r="A22" s="21" t="s">
        <v>35</v>
      </c>
      <c r="B22" s="22">
        <v>45953</v>
      </c>
      <c r="C22" s="51" t="s">
        <v>32</v>
      </c>
      <c r="D22" s="281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208</v>
      </c>
      <c r="M22" s="30"/>
      <c r="N22" s="30"/>
      <c r="O22" s="28"/>
      <c r="P22" s="111" t="s">
        <v>81</v>
      </c>
      <c r="Q22" s="109" t="s">
        <v>81</v>
      </c>
      <c r="R22" s="3"/>
      <c r="S22" s="3"/>
      <c r="T22" s="3"/>
    </row>
    <row r="23" spans="1:24" ht="12.75" customHeight="1">
      <c r="A23" s="37" t="s">
        <v>41</v>
      </c>
      <c r="B23" s="38">
        <v>45954</v>
      </c>
      <c r="C23" s="51" t="s">
        <v>102</v>
      </c>
      <c r="D23" s="39" t="s">
        <v>42</v>
      </c>
      <c r="E23" s="360" t="s">
        <v>22</v>
      </c>
      <c r="F23" s="51" t="s">
        <v>29</v>
      </c>
      <c r="G23" s="51" t="s">
        <v>29</v>
      </c>
      <c r="H23" s="39" t="s">
        <v>42</v>
      </c>
      <c r="I23" s="129"/>
      <c r="J23" s="42"/>
      <c r="K23" s="43"/>
      <c r="L23" s="44" t="s">
        <v>156</v>
      </c>
      <c r="M23" s="55"/>
      <c r="N23" s="55"/>
      <c r="O23" s="135"/>
      <c r="P23" s="111" t="s">
        <v>87</v>
      </c>
      <c r="Q23" s="109" t="s">
        <v>82</v>
      </c>
      <c r="R23" s="3"/>
      <c r="S23" s="3"/>
      <c r="T23" s="3"/>
    </row>
    <row r="24" spans="1:24" ht="12.75" customHeight="1">
      <c r="A24" s="37" t="s">
        <v>43</v>
      </c>
      <c r="B24" s="38">
        <v>45955</v>
      </c>
      <c r="C24" s="229" t="s">
        <v>31</v>
      </c>
      <c r="D24" s="229" t="s">
        <v>31</v>
      </c>
      <c r="E24" s="360" t="s">
        <v>22</v>
      </c>
      <c r="F24" s="51" t="s">
        <v>32</v>
      </c>
      <c r="G24" s="229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5"/>
      <c r="P24" s="113" t="s">
        <v>79</v>
      </c>
      <c r="Q24" s="112" t="s">
        <v>79</v>
      </c>
      <c r="R24" s="3"/>
      <c r="S24" s="3"/>
      <c r="T24" s="3"/>
    </row>
    <row r="25" spans="1:24" ht="12.75" customHeight="1">
      <c r="A25" s="21" t="s">
        <v>18</v>
      </c>
      <c r="B25" s="22">
        <v>45956</v>
      </c>
      <c r="C25" s="52" t="s">
        <v>20</v>
      </c>
      <c r="D25" s="52" t="s">
        <v>27</v>
      </c>
      <c r="E25" s="120"/>
      <c r="F25" s="120"/>
      <c r="G25" s="51" t="s">
        <v>29</v>
      </c>
      <c r="H25" s="32" t="s">
        <v>28</v>
      </c>
      <c r="I25" s="133" t="s">
        <v>23</v>
      </c>
      <c r="J25" s="51" t="s">
        <v>29</v>
      </c>
      <c r="K25" s="28"/>
      <c r="L25" s="30" t="s">
        <v>209</v>
      </c>
      <c r="M25" s="30"/>
      <c r="N25" s="275" t="s">
        <v>210</v>
      </c>
      <c r="O25" s="28"/>
      <c r="P25" s="113" t="s">
        <v>83</v>
      </c>
      <c r="Q25" s="112" t="s">
        <v>83</v>
      </c>
      <c r="R25" s="3"/>
      <c r="S25" s="3"/>
      <c r="T25" s="3"/>
    </row>
    <row r="26" spans="1:24" ht="13.5" customHeight="1">
      <c r="A26" s="283" t="s">
        <v>26</v>
      </c>
      <c r="B26" s="22">
        <v>45957</v>
      </c>
      <c r="C26" s="281" t="s">
        <v>34</v>
      </c>
      <c r="D26" s="190" t="s">
        <v>34</v>
      </c>
      <c r="E26" s="51" t="s">
        <v>44</v>
      </c>
      <c r="F26" s="51" t="s">
        <v>32</v>
      </c>
      <c r="G26" s="51" t="s">
        <v>32</v>
      </c>
      <c r="H26" s="326" t="s">
        <v>22</v>
      </c>
      <c r="I26" s="63"/>
      <c r="J26" s="346" t="s">
        <v>20</v>
      </c>
      <c r="K26" s="32"/>
      <c r="L26" s="30" t="s">
        <v>209</v>
      </c>
      <c r="M26" s="30"/>
      <c r="N26" s="275" t="s">
        <v>210</v>
      </c>
      <c r="O26" s="28"/>
      <c r="P26" s="113" t="s">
        <v>84</v>
      </c>
      <c r="Q26" s="112" t="s">
        <v>84</v>
      </c>
      <c r="R26" s="3"/>
      <c r="S26" s="3"/>
      <c r="T26" s="3"/>
    </row>
    <row r="27" spans="1:24" ht="12.75" customHeight="1">
      <c r="A27" s="21" t="s">
        <v>30</v>
      </c>
      <c r="B27" s="22">
        <v>45958</v>
      </c>
      <c r="C27" s="190" t="s">
        <v>31</v>
      </c>
      <c r="D27" s="190" t="s">
        <v>31</v>
      </c>
      <c r="E27" s="51" t="s">
        <v>29</v>
      </c>
      <c r="F27" s="326" t="s">
        <v>22</v>
      </c>
      <c r="G27" s="326" t="s">
        <v>22</v>
      </c>
      <c r="H27" s="51" t="s">
        <v>23</v>
      </c>
      <c r="I27" s="32"/>
      <c r="J27" s="52" t="s">
        <v>20</v>
      </c>
      <c r="K27" s="32"/>
      <c r="L27" s="30" t="s">
        <v>209</v>
      </c>
      <c r="M27" s="30"/>
      <c r="N27" s="275" t="s">
        <v>210</v>
      </c>
      <c r="O27" s="28"/>
      <c r="P27" s="113" t="s">
        <v>77</v>
      </c>
      <c r="Q27" s="112" t="s">
        <v>77</v>
      </c>
      <c r="R27" s="3"/>
      <c r="S27" s="3"/>
      <c r="T27" s="3"/>
    </row>
    <row r="28" spans="1:24" ht="12.75" customHeight="1">
      <c r="A28" s="21" t="s">
        <v>33</v>
      </c>
      <c r="B28" s="22">
        <v>45959</v>
      </c>
      <c r="C28" s="281" t="s">
        <v>36</v>
      </c>
      <c r="D28" s="281" t="s">
        <v>36</v>
      </c>
      <c r="E28" s="5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211</v>
      </c>
      <c r="M28" s="30"/>
      <c r="N28" s="275" t="s">
        <v>210</v>
      </c>
      <c r="O28" s="28"/>
      <c r="P28" s="113" t="s">
        <v>85</v>
      </c>
      <c r="Q28" s="112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45960</v>
      </c>
      <c r="C29" s="281" t="s">
        <v>34</v>
      </c>
      <c r="D29" s="281" t="s">
        <v>34</v>
      </c>
      <c r="E29" s="51" t="s">
        <v>168</v>
      </c>
      <c r="F29" s="51" t="s">
        <v>23</v>
      </c>
      <c r="G29" s="190" t="s">
        <v>31</v>
      </c>
      <c r="H29" s="32" t="s">
        <v>28</v>
      </c>
      <c r="I29" s="63"/>
      <c r="J29" s="51" t="s">
        <v>20</v>
      </c>
      <c r="K29" s="28"/>
      <c r="L29" s="30" t="s">
        <v>211</v>
      </c>
      <c r="M29" s="30"/>
      <c r="N29" s="275" t="s">
        <v>210</v>
      </c>
      <c r="O29" s="28"/>
      <c r="P29" s="113" t="s">
        <v>86</v>
      </c>
      <c r="Q29" s="112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45961</v>
      </c>
      <c r="C30" s="39" t="s">
        <v>27</v>
      </c>
      <c r="D30" s="39" t="s">
        <v>27</v>
      </c>
      <c r="E30" s="348" t="s">
        <v>197</v>
      </c>
      <c r="F30" s="39" t="s">
        <v>37</v>
      </c>
      <c r="G30" s="51" t="s">
        <v>29</v>
      </c>
      <c r="H30" s="51" t="s">
        <v>29</v>
      </c>
      <c r="I30" s="129"/>
      <c r="J30" s="42"/>
      <c r="K30" s="43"/>
      <c r="L30" s="44"/>
      <c r="M30" s="44"/>
      <c r="N30" s="55"/>
      <c r="O30" s="135"/>
      <c r="P30" s="113" t="s">
        <v>81</v>
      </c>
      <c r="Q30" s="112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284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22</v>
      </c>
      <c r="I31" s="45" t="s">
        <v>102</v>
      </c>
      <c r="J31" s="42"/>
      <c r="K31" s="43"/>
      <c r="L31" s="43"/>
      <c r="M31" s="44"/>
      <c r="N31" s="60"/>
      <c r="O31" s="285"/>
      <c r="P31" s="111" t="s">
        <v>94</v>
      </c>
      <c r="Q31" s="112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N32" s="57"/>
      <c r="O32" s="31"/>
    </row>
    <row r="33" spans="1:19" ht="12.75" customHeight="1">
      <c r="A33" s="370" t="s">
        <v>53</v>
      </c>
      <c r="B33" s="370"/>
      <c r="C33" s="370"/>
      <c r="D33" s="370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71" t="s">
        <v>57</v>
      </c>
      <c r="M35" s="371"/>
      <c r="N35" s="78"/>
    </row>
    <row r="36" spans="1:19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6" t="s">
        <v>64</v>
      </c>
      <c r="J36" s="366" t="s">
        <v>65</v>
      </c>
      <c r="K36" s="366" t="s">
        <v>66</v>
      </c>
      <c r="L36" s="270" t="s">
        <v>67</v>
      </c>
      <c r="M36" s="270" t="s">
        <v>68</v>
      </c>
    </row>
    <row r="37" spans="1:19" ht="12" customHeight="1">
      <c r="A37" s="73"/>
      <c r="B37" s="73"/>
      <c r="C37" s="82" t="s">
        <v>38</v>
      </c>
      <c r="D37" s="83">
        <v>1</v>
      </c>
      <c r="E37" s="84">
        <f>COUNTIF($C$4:$C$31,"BOULAT")+COUNTIF($F$4:$F$31,"BOULAT")+COUNTIF($J$4:$J$31,"BOULAT")+COUNTIF($H$4:$H$31,"BOULAT")</f>
        <v>5</v>
      </c>
      <c r="F37" s="84">
        <f>COUNTIF($D$4:$D$31,"BOULAT")+COUNTIF($G$4:$G$31,"BOULAT")</f>
        <v>5</v>
      </c>
      <c r="G37" s="84">
        <f>COUNTIF($E$4:$E$31,"BOULAT")</f>
        <v>0</v>
      </c>
      <c r="H37" s="82"/>
      <c r="I37" s="86">
        <v>5</v>
      </c>
      <c r="J37" s="286">
        <f t="shared" ref="J37:J42" si="0">D37*((9*$D$35)-($F$35*9/5))-(D37*(I37*1.8))</f>
        <v>27</v>
      </c>
      <c r="K37" s="86">
        <f t="shared" ref="K37:K56" si="1">D37*((39*$D$35)-($F$35*39/5))-(I37*7.8)</f>
        <v>117</v>
      </c>
      <c r="L37" s="86">
        <f>E37*10+F37*14+G37*12</f>
        <v>120</v>
      </c>
      <c r="M37" s="238">
        <f t="shared" ref="M37:M56" si="2">L37-K37</f>
        <v>3</v>
      </c>
    </row>
    <row r="38" spans="1:19" ht="12.75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5</v>
      </c>
      <c r="F38" s="84">
        <f>COUNTIF($D$4:$D$31,"BRUGIROUX")+COUNTIF($G$4:$G$31,"BRUGIROUX")</f>
        <v>8</v>
      </c>
      <c r="G38" s="84">
        <f>COUNTIF($E$4:$E$31,"BRUGIROUX")</f>
        <v>0</v>
      </c>
      <c r="H38" s="84">
        <f>COUNTIF($K$4:$K$31,"BRUGIROUX")</f>
        <v>0</v>
      </c>
      <c r="I38" s="86">
        <v>6</v>
      </c>
      <c r="J38" s="85">
        <f t="shared" si="0"/>
        <v>25.2</v>
      </c>
      <c r="K38" s="86">
        <f t="shared" si="1"/>
        <v>109.2</v>
      </c>
      <c r="L38" s="86">
        <f>E38*10+F38*14+G38*12+H38*10</f>
        <v>162</v>
      </c>
      <c r="M38" s="240">
        <f t="shared" si="2"/>
        <v>52.8</v>
      </c>
    </row>
    <row r="39" spans="1:19" ht="12.75" customHeight="1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3</v>
      </c>
      <c r="F39" s="84">
        <f>COUNTIF($D$4:$D$31,"CAUVY")+COUNTIF($G$4:$G$31,"CAUVY")</f>
        <v>0</v>
      </c>
      <c r="G39" s="84">
        <f>COUNTIF($E$4:$E$31,"CAUVY")</f>
        <v>1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42</v>
      </c>
      <c r="M39" s="240">
        <f t="shared" si="2"/>
        <v>-36</v>
      </c>
    </row>
    <row r="40" spans="1:19" ht="12" customHeight="1">
      <c r="A40" s="73"/>
      <c r="B40" s="73"/>
      <c r="C40" s="82" t="s">
        <v>31</v>
      </c>
      <c r="D40" s="278">
        <v>0.8</v>
      </c>
      <c r="E40" s="84">
        <f>COUNTIF($C$4:$C$31,"FONTAINE")+COUNTIF($F$4:$F$31,"FONTAINE")+COUNTIF($J$4:$J$31,"FONTAINE")+COUNTIF($H$4:$H$31,"FONTAINE")</f>
        <v>7</v>
      </c>
      <c r="F40" s="84">
        <f>COUNTIF($D$4:$D$31,"FONTAINE")+COUNTIF($G$4:$G$31,"FONTAINE")</f>
        <v>8</v>
      </c>
      <c r="G40" s="84">
        <f>COUNTIF($E$4:$E$31,"FONTAINE")</f>
        <v>0</v>
      </c>
      <c r="H40" s="82"/>
      <c r="I40" s="86">
        <v>3</v>
      </c>
      <c r="J40" s="85">
        <f t="shared" si="0"/>
        <v>24.48</v>
      </c>
      <c r="K40" s="86">
        <f t="shared" si="1"/>
        <v>101.4</v>
      </c>
      <c r="L40" s="86">
        <f>E40*10+F40*14+G40*12</f>
        <v>182</v>
      </c>
      <c r="M40" s="238">
        <f t="shared" si="2"/>
        <v>80.599999999999994</v>
      </c>
    </row>
    <row r="41" spans="1:19" ht="12" customHeight="1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2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78</v>
      </c>
      <c r="M41" s="240">
        <f t="shared" si="2"/>
        <v>-15.599999999999994</v>
      </c>
      <c r="N41" s="3"/>
      <c r="O41" s="3"/>
    </row>
    <row r="42" spans="1:19" ht="12" customHeight="1">
      <c r="A42" s="3"/>
      <c r="B42" s="3"/>
      <c r="C42" s="86" t="s">
        <v>42</v>
      </c>
      <c r="D42" s="279">
        <v>1</v>
      </c>
      <c r="E42" s="84">
        <f>COUNTIF($C$4:$C$31,"ORIOLI")+COUNTIF($H$4:$H$31,"ORIOLI")+COUNTIF($F$4:$F$31,"ORIOLI")+COUNTIF($J$4:$J$31,"ORIOLI")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120</v>
      </c>
      <c r="M42" s="240">
        <f t="shared" si="2"/>
        <v>-36</v>
      </c>
      <c r="N42" s="3"/>
      <c r="O42" s="3"/>
    </row>
    <row r="43" spans="1:19" ht="12" customHeight="1">
      <c r="A43" s="3"/>
      <c r="B43" s="3"/>
      <c r="C43" s="86" t="s">
        <v>47</v>
      </c>
      <c r="D43" s="279">
        <v>0.5</v>
      </c>
      <c r="E43" s="84">
        <f>COUNTIF($C$4:$C$31,"TKATCHOUK")+COUNTIF($F$4:$F$31,"TKATCHOUK")+COUNTIF($H$4:$H$31,"TKATCHOUK")+COUNTIF($J$4:$J$31,"TKATCHOUK")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v>13</v>
      </c>
      <c r="K43" s="86">
        <f t="shared" si="1"/>
        <v>78</v>
      </c>
      <c r="L43" s="86">
        <f>E43*10+F43*14+G43*12</f>
        <v>84</v>
      </c>
      <c r="M43" s="238">
        <f t="shared" si="2"/>
        <v>6</v>
      </c>
      <c r="N43" s="3"/>
      <c r="O43" s="3"/>
      <c r="P43" s="3"/>
      <c r="Q43" s="3"/>
    </row>
    <row r="44" spans="1:19" ht="12" customHeight="1">
      <c r="A44" s="3"/>
      <c r="B44" s="3"/>
      <c r="C44" s="86" t="s">
        <v>20</v>
      </c>
      <c r="D44" s="279">
        <v>1</v>
      </c>
      <c r="E44" s="84">
        <f>COUNTIF($C$4:$C$31,"TORREGROSSA")+COUNTIF($J$4:$J$31,"TORREGROSSA")+COUNTIF($F$4:$F$31,"TORREGROSSA")+COUNTIF($H$4:$H$31,"TORREGROSSA")</f>
        <v>10</v>
      </c>
      <c r="F44" s="84">
        <f>COUNTIF($D$4:$D$31,"TORREGROSSA")+COUNTIF($G$4:$G$31,"TORREGROSSA")</f>
        <v>4</v>
      </c>
      <c r="G44" s="84">
        <f>COUNTIF($E$4:$E$31,"TORREGROSSA")</f>
        <v>1</v>
      </c>
      <c r="H44" s="84">
        <f>COUNTIF($K$4:$K$31,"TORREGROSSA")</f>
        <v>1</v>
      </c>
      <c r="I44" s="86"/>
      <c r="J44" s="85">
        <f t="shared" ref="J44:J56" si="3">D44*((9*$D$35)-($F$35*9/5))-(D44*(I44*1.8))</f>
        <v>36</v>
      </c>
      <c r="K44" s="86">
        <f t="shared" si="1"/>
        <v>156</v>
      </c>
      <c r="L44" s="86">
        <f>E44*10+F44*14+G44*12+H44*10</f>
        <v>178</v>
      </c>
      <c r="M44" s="238">
        <f t="shared" si="2"/>
        <v>22</v>
      </c>
      <c r="N44" s="3"/>
      <c r="O44" s="3"/>
      <c r="P44" s="3"/>
      <c r="Q44" s="3"/>
      <c r="R44" s="3"/>
      <c r="S44" s="3"/>
    </row>
    <row r="45" spans="1:19" ht="12" customHeight="1">
      <c r="A45" s="3"/>
      <c r="B45" s="3"/>
      <c r="C45" s="86" t="s">
        <v>19</v>
      </c>
      <c r="D45" s="279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/>
      <c r="J45" s="85">
        <f t="shared" si="3"/>
        <v>14.4</v>
      </c>
      <c r="K45" s="86">
        <f t="shared" si="1"/>
        <v>62.400000000000006</v>
      </c>
      <c r="L45" s="86">
        <f t="shared" ref="L45:L56" si="4">E45*10+F45*14+G45*12</f>
        <v>24</v>
      </c>
      <c r="M45" s="240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3"/>
        <v>14.4</v>
      </c>
      <c r="K46" s="86">
        <f t="shared" si="1"/>
        <v>62.400000000000006</v>
      </c>
      <c r="L46" s="86">
        <f t="shared" si="4"/>
        <v>60</v>
      </c>
      <c r="M46" s="240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>
      <c r="A47" s="3"/>
      <c r="B47" s="3"/>
      <c r="C47" s="86" t="s">
        <v>27</v>
      </c>
      <c r="D47" s="279">
        <v>0.8</v>
      </c>
      <c r="E47" s="84">
        <f>COUNTIF($C$4:$C$31,"RACHIDI")+COUNTIF($F$4:$F$31,"RACHIDI")+COUNTIF($H$4:$H$31,"RACHIDI")+COUNTIF($J$4:$J$31,"RACHIDI")</f>
        <v>3</v>
      </c>
      <c r="F47" s="84">
        <f>COUNTIF($D$4:$D$31,"RACHIDI")+COUNTIF($G$4:$G$31,"RACHIDI")</f>
        <v>4</v>
      </c>
      <c r="G47" s="84">
        <f>COUNTIF($E$4:$E$31,"RACHIDI")</f>
        <v>0</v>
      </c>
      <c r="H47" s="84"/>
      <c r="I47" s="86">
        <v>4</v>
      </c>
      <c r="J47" s="85">
        <f t="shared" si="3"/>
        <v>23.04</v>
      </c>
      <c r="K47" s="86">
        <f t="shared" si="1"/>
        <v>93.600000000000009</v>
      </c>
      <c r="L47" s="86">
        <f t="shared" si="4"/>
        <v>86</v>
      </c>
      <c r="M47" s="238">
        <f t="shared" si="2"/>
        <v>-7.6000000000000085</v>
      </c>
      <c r="N47" s="3"/>
      <c r="O47" s="3"/>
      <c r="P47" s="3"/>
      <c r="Q47" s="3"/>
      <c r="R47" s="3"/>
      <c r="S47" s="3"/>
    </row>
    <row r="48" spans="1:19" ht="12" customHeight="1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4</v>
      </c>
      <c r="F48" s="84">
        <f>COUNTIF($D$4:$D$31,"ZEBICHE")+COUNTIF($G$4:$G$31,"ZEBICHE")</f>
        <v>3</v>
      </c>
      <c r="G48" s="84">
        <f>COUNTIF($E$4:$E$31,"ZEBICHE")</f>
        <v>1</v>
      </c>
      <c r="H48" s="84"/>
      <c r="I48" s="86">
        <v>10</v>
      </c>
      <c r="J48" s="85">
        <f t="shared" si="3"/>
        <v>18</v>
      </c>
      <c r="K48" s="86">
        <f t="shared" si="1"/>
        <v>78</v>
      </c>
      <c r="L48" s="86">
        <f t="shared" si="4"/>
        <v>94</v>
      </c>
      <c r="M48" s="238">
        <f t="shared" si="2"/>
        <v>16</v>
      </c>
      <c r="N48" s="3"/>
      <c r="O48" s="3"/>
      <c r="P48" s="3"/>
      <c r="Q48" s="3"/>
      <c r="R48" s="3"/>
      <c r="S48" s="3"/>
    </row>
    <row r="49" spans="1:21" ht="12" customHeight="1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COUNTIF($C$4:$C$31,"HACHIMI")+COUNTIF($I$4:$I$31,"HACHIMI")+COUNTIF($H$4:$H$31,"HACHIMI")+COUNTIF($J$4:$J$31,"HACHIMI")+COUNTIF($F$4:$F$31,"HACHIMI")+D58</f>
        <v>10</v>
      </c>
      <c r="F49" s="84">
        <f>COUNTIF($D$4:$D$31,"HACHIMI")+COUNTIF($I$4:$I$31,"HACHIMI")+COUNTIF($G$4:$G$31,"HACHIMI")</f>
        <v>2</v>
      </c>
      <c r="G49" s="84">
        <f>COUNTIF($E$4:$E$31,"HACHIMI")</f>
        <v>2</v>
      </c>
      <c r="H49" s="84"/>
      <c r="I49" s="86">
        <v>2</v>
      </c>
      <c r="J49" s="85">
        <f t="shared" si="3"/>
        <v>32.4</v>
      </c>
      <c r="K49" s="86">
        <f t="shared" si="1"/>
        <v>140.4</v>
      </c>
      <c r="L49" s="86">
        <f t="shared" si="4"/>
        <v>152</v>
      </c>
      <c r="M49" s="238">
        <f t="shared" si="2"/>
        <v>11.599999999999994</v>
      </c>
      <c r="N49" s="3"/>
      <c r="O49" s="3"/>
      <c r="P49" s="3"/>
      <c r="Q49" s="3"/>
      <c r="R49" s="3"/>
      <c r="S49" s="3"/>
    </row>
    <row r="50" spans="1:21" ht="12" customHeight="1">
      <c r="A50" s="3"/>
      <c r="B50" s="3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9</v>
      </c>
      <c r="F50" s="84">
        <f>COUNTIF($D$4:$D$31,"BIENDOUX")+COUNTIF($I$4:$I$31,"BIENDOUX")+COUNTIF($G$4:$G$31,"BIENDOUX")</f>
        <v>5</v>
      </c>
      <c r="G50" s="84">
        <f>COUNTIF($E$4:$E$31,"BIENDOUX")</f>
        <v>2</v>
      </c>
      <c r="H50" s="84"/>
      <c r="I50" s="86"/>
      <c r="J50" s="85">
        <f t="shared" si="3"/>
        <v>36</v>
      </c>
      <c r="K50" s="86">
        <f t="shared" si="1"/>
        <v>156</v>
      </c>
      <c r="L50" s="86">
        <f t="shared" si="4"/>
        <v>184</v>
      </c>
      <c r="M50" s="238">
        <f t="shared" si="2"/>
        <v>28</v>
      </c>
      <c r="N50" s="3"/>
      <c r="O50" s="3"/>
      <c r="P50" s="3"/>
      <c r="Q50" s="3"/>
      <c r="R50" s="3"/>
      <c r="S50" s="3"/>
      <c r="T50" s="3"/>
    </row>
    <row r="51" spans="1:21" ht="12" customHeight="1">
      <c r="A51" s="3"/>
      <c r="B51" s="3"/>
      <c r="C51" s="86" t="s">
        <v>48</v>
      </c>
      <c r="D51" s="279">
        <v>1</v>
      </c>
      <c r="E51" s="84">
        <f>COUNTIF($C$4:$C$31,"AFZAL")+COUNTIF($I$4:$I$31,"AFZAL")+COUNTIF($H$4:$H$31,"AFZAL")+COUNTIF($F$4:$F$31,"AFZAL")+D60+COUNTIF($J$4:$J$31,"AFZAL")</f>
        <v>4</v>
      </c>
      <c r="F51" s="84">
        <f>COUNTIF($D$4:$D$31,"AFZAL")+COUNTIF($I$4:$I$31,"AFZAL")+COUNTIF($G$4:$G$31,"AFZAL")</f>
        <v>3</v>
      </c>
      <c r="G51" s="84">
        <f>COUNTIF($E$4:$E$31,"AFZAL")</f>
        <v>1</v>
      </c>
      <c r="H51" s="84"/>
      <c r="I51" s="86">
        <v>6</v>
      </c>
      <c r="J51" s="85">
        <f t="shared" si="3"/>
        <v>25.2</v>
      </c>
      <c r="K51" s="86">
        <f t="shared" si="1"/>
        <v>109.2</v>
      </c>
      <c r="L51" s="86">
        <f t="shared" si="4"/>
        <v>94</v>
      </c>
      <c r="M51" s="238">
        <f t="shared" si="2"/>
        <v>-15.200000000000003</v>
      </c>
      <c r="N51" s="3"/>
      <c r="O51" s="3"/>
      <c r="P51" s="3"/>
      <c r="Q51" s="3"/>
      <c r="R51" s="3"/>
      <c r="S51" s="3"/>
      <c r="T51" s="3"/>
    </row>
    <row r="52" spans="1:21" ht="12" customHeight="1">
      <c r="A52" s="3"/>
      <c r="B52" s="3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4</v>
      </c>
      <c r="G52" s="84">
        <f>COUNTIF($E$4:$E$31,"IBRAHIM")</f>
        <v>2</v>
      </c>
      <c r="H52" s="84"/>
      <c r="I52" s="86"/>
      <c r="J52" s="85">
        <f t="shared" si="3"/>
        <v>36</v>
      </c>
      <c r="K52" s="86">
        <f t="shared" si="1"/>
        <v>156</v>
      </c>
      <c r="L52" s="86">
        <f t="shared" si="4"/>
        <v>160</v>
      </c>
      <c r="M52" s="238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>
      <c r="A53" s="3"/>
      <c r="B53" s="3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5</v>
      </c>
      <c r="F53" s="84">
        <f>COUNTIF($D$4:$D$31,"IMAD")+COUNTIF($I$4:$I$31,"IMAD")+COUNTIF($G$4:$G$31,"IMAD")</f>
        <v>3</v>
      </c>
      <c r="G53" s="84">
        <f>COUNTIF($E$4:$E$31,"IMAD")</f>
        <v>1</v>
      </c>
      <c r="H53" s="84"/>
      <c r="I53" s="86">
        <v>10</v>
      </c>
      <c r="J53" s="85">
        <f t="shared" si="3"/>
        <v>18</v>
      </c>
      <c r="K53" s="86">
        <f t="shared" si="1"/>
        <v>78</v>
      </c>
      <c r="L53" s="86">
        <f t="shared" si="4"/>
        <v>104</v>
      </c>
      <c r="M53" s="325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>
      <c r="A54" s="3"/>
      <c r="B54" s="3"/>
      <c r="C54" s="86" t="s">
        <v>32</v>
      </c>
      <c r="D54" s="279">
        <v>1</v>
      </c>
      <c r="E54" s="84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1</v>
      </c>
      <c r="G54" s="84">
        <f>COUNTIF($E$4:$E$31,"RADO")</f>
        <v>1</v>
      </c>
      <c r="H54" s="84"/>
      <c r="I54" s="86">
        <v>3</v>
      </c>
      <c r="J54" s="85">
        <f t="shared" si="3"/>
        <v>30.6</v>
      </c>
      <c r="K54" s="86">
        <f t="shared" si="1"/>
        <v>132.6</v>
      </c>
      <c r="L54" s="86">
        <f t="shared" si="4"/>
        <v>166</v>
      </c>
      <c r="M54" s="238">
        <f t="shared" si="2"/>
        <v>33.400000000000006</v>
      </c>
      <c r="N54" s="3"/>
      <c r="O54" s="3"/>
      <c r="P54" s="3"/>
      <c r="Q54" s="3"/>
      <c r="R54" s="3"/>
      <c r="S54" s="3"/>
      <c r="T54" s="3"/>
    </row>
    <row r="55" spans="1:21" ht="12" customHeight="1">
      <c r="A55" s="3"/>
      <c r="B55" s="3"/>
      <c r="C55" s="86" t="s">
        <v>102</v>
      </c>
      <c r="D55" s="279">
        <v>1</v>
      </c>
      <c r="E55" s="84">
        <f>COUNTIF($C$4:$C$31,"TODY")+COUNTIF($I$4:$I$31,"TODY")+COUNTIF($H$4:$H$31,"TODY")+COUNTIF($F$4:$F$31,"TODY")+D64+COUNTIF($J$4:$J$31,"TODY")</f>
        <v>11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3"/>
        <v>30.6</v>
      </c>
      <c r="K55" s="86">
        <f t="shared" si="1"/>
        <v>132.6</v>
      </c>
      <c r="L55" s="86">
        <f t="shared" si="4"/>
        <v>180</v>
      </c>
      <c r="M55" s="86">
        <f t="shared" si="2"/>
        <v>47.400000000000006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86" t="s">
        <v>168</v>
      </c>
      <c r="D56" s="279">
        <v>1</v>
      </c>
      <c r="E56" s="84">
        <f>COUNTIF($C$4:$C$31,"RODRIGUE")+COUNTIF($I$4:$I$31,"RODRIGUE")+COUNTIF($H$4:$H$31,"RODRIGUE")+COUNTIF($F$4:$F$31,"RODRIGUE")+D65+COUNTIF($J$4:$J$31,"RODRIGUE")</f>
        <v>9</v>
      </c>
      <c r="F56" s="84">
        <f>COUNTIF($D$4:$D$31,"RODRIGUE")+COUNTIF($I$4:$I$31,"RODRIGUE")+COUNTIF($G$4:$G$31,"RODRIGUE")</f>
        <v>4</v>
      </c>
      <c r="G56" s="84">
        <f>COUNTIF($E$4:$E$31,"RODRIGUE")</f>
        <v>1</v>
      </c>
      <c r="H56" s="84"/>
      <c r="I56" s="86">
        <v>3</v>
      </c>
      <c r="J56" s="85">
        <f t="shared" si="3"/>
        <v>30.6</v>
      </c>
      <c r="K56" s="86">
        <f t="shared" si="1"/>
        <v>132.6</v>
      </c>
      <c r="L56" s="86">
        <f t="shared" si="4"/>
        <v>158</v>
      </c>
      <c r="M56" s="238">
        <f t="shared" si="2"/>
        <v>25.400000000000006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C5:I5 L4:L8 F8:J12 C6:D6 C22:D22 M6:M7 C7:C9 E7:I7 D8:D9 E18:E21 K9:K11 M9:M17 I15:L15 F15 L11:L14 C16:D18 H16:K16 E17:K17 F6:I6 F14:K14 F19:J20 F21:F24 I21 K21 J31:L31 C23:C24 G22:J22 E23:E24 G23 I23:K23 D24 H24:K24 E25:K25 H18:J18 J28:K30 C26:I31 F4:J4 C13:I13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topLeftCell="K1" zoomScale="112" zoomScaleNormal="112" workbookViewId="0">
      <selection activeCell="I45" sqref="I45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1.625" style="2" customWidth="1"/>
    <col min="10" max="10" width="14.125" style="1" customWidth="1"/>
    <col min="11" max="11" width="15.5" style="1" customWidth="1"/>
    <col min="12" max="12" width="13.375" style="1" customWidth="1"/>
    <col min="13" max="13" width="8" style="1" customWidth="1"/>
    <col min="14" max="14" width="12.62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67" t="s">
        <v>212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68" t="s">
        <v>1</v>
      </c>
      <c r="D2" s="368"/>
      <c r="E2" s="4" t="s">
        <v>2</v>
      </c>
      <c r="F2" s="369" t="s">
        <v>3</v>
      </c>
      <c r="G2" s="369"/>
      <c r="H2" s="5"/>
      <c r="I2" s="6"/>
      <c r="J2" s="370" t="s">
        <v>4</v>
      </c>
      <c r="K2" s="370"/>
      <c r="L2" s="370"/>
      <c r="M2" s="370"/>
      <c r="N2" s="370"/>
      <c r="O2" s="370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160</v>
      </c>
      <c r="K3" s="13" t="s">
        <v>213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45963</v>
      </c>
      <c r="C4" s="190" t="s">
        <v>31</v>
      </c>
      <c r="D4" s="32" t="s">
        <v>20</v>
      </c>
      <c r="E4" s="48" t="s">
        <v>47</v>
      </c>
      <c r="F4" s="48" t="s">
        <v>21</v>
      </c>
      <c r="G4" s="287" t="s">
        <v>32</v>
      </c>
      <c r="H4" s="52" t="s">
        <v>42</v>
      </c>
      <c r="I4" s="288" t="s">
        <v>214</v>
      </c>
      <c r="J4" s="27" t="s">
        <v>38</v>
      </c>
      <c r="K4" s="28"/>
      <c r="L4" s="172" t="s">
        <v>215</v>
      </c>
      <c r="M4" s="30"/>
      <c r="N4" s="28"/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349" t="s">
        <v>19</v>
      </c>
      <c r="I5" s="63"/>
      <c r="J5" s="24" t="s">
        <v>29</v>
      </c>
      <c r="K5" s="32"/>
      <c r="L5" s="172" t="s">
        <v>215</v>
      </c>
      <c r="M5" s="34"/>
      <c r="N5" s="28"/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7" t="s">
        <v>32</v>
      </c>
      <c r="I6" s="63"/>
      <c r="J6" s="24" t="s">
        <v>29</v>
      </c>
      <c r="K6" s="36"/>
      <c r="L6" s="172" t="s">
        <v>216</v>
      </c>
      <c r="M6" s="172"/>
      <c r="N6" s="28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45966</v>
      </c>
      <c r="C7" s="27" t="s">
        <v>38</v>
      </c>
      <c r="D7" s="27" t="s">
        <v>38</v>
      </c>
      <c r="E7" s="287" t="s">
        <v>32</v>
      </c>
      <c r="F7" s="361" t="s">
        <v>22</v>
      </c>
      <c r="G7" s="190" t="s">
        <v>31</v>
      </c>
      <c r="H7" s="48" t="s">
        <v>21</v>
      </c>
      <c r="I7" s="63"/>
      <c r="J7" s="190" t="s">
        <v>31</v>
      </c>
      <c r="K7" s="28"/>
      <c r="L7" s="172" t="s">
        <v>216</v>
      </c>
      <c r="M7" s="172"/>
      <c r="N7" s="28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45967</v>
      </c>
      <c r="C8" s="32" t="s">
        <v>27</v>
      </c>
      <c r="D8" s="32" t="s">
        <v>27</v>
      </c>
      <c r="E8" s="349" t="s">
        <v>19</v>
      </c>
      <c r="F8" s="32" t="s">
        <v>34</v>
      </c>
      <c r="G8" s="32" t="s">
        <v>34</v>
      </c>
      <c r="H8" s="48" t="s">
        <v>21</v>
      </c>
      <c r="I8" s="63"/>
      <c r="J8" s="326" t="s">
        <v>22</v>
      </c>
      <c r="K8" s="36"/>
      <c r="L8" s="172" t="s">
        <v>216</v>
      </c>
      <c r="M8" s="34"/>
      <c r="N8" s="28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45968</v>
      </c>
      <c r="C9" s="289" t="s">
        <v>20</v>
      </c>
      <c r="D9" s="289" t="s">
        <v>20</v>
      </c>
      <c r="E9" s="329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8"/>
      <c r="O9" s="318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45969</v>
      </c>
      <c r="C10" s="229" t="s">
        <v>36</v>
      </c>
      <c r="D10" s="229" t="s">
        <v>36</v>
      </c>
      <c r="E10" s="58" t="s">
        <v>47</v>
      </c>
      <c r="F10" s="289" t="s">
        <v>34</v>
      </c>
      <c r="G10" s="289" t="s">
        <v>34</v>
      </c>
      <c r="H10" s="287" t="s">
        <v>32</v>
      </c>
      <c r="I10" s="288" t="s">
        <v>214</v>
      </c>
      <c r="J10" s="42"/>
      <c r="K10" s="43"/>
      <c r="L10" s="44"/>
      <c r="M10" s="44"/>
      <c r="N10" s="178"/>
      <c r="O10" s="318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45970</v>
      </c>
      <c r="C11" s="287" t="s">
        <v>32</v>
      </c>
      <c r="D11" s="287" t="s">
        <v>32</v>
      </c>
      <c r="E11" s="32" t="s">
        <v>20</v>
      </c>
      <c r="F11" s="361" t="s">
        <v>22</v>
      </c>
      <c r="G11" s="32" t="s">
        <v>27</v>
      </c>
      <c r="H11" s="48" t="s">
        <v>28</v>
      </c>
      <c r="I11" s="288" t="s">
        <v>214</v>
      </c>
      <c r="J11" s="24" t="s">
        <v>29</v>
      </c>
      <c r="K11" s="28"/>
      <c r="L11" s="172" t="s">
        <v>216</v>
      </c>
      <c r="M11" s="34"/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45971</v>
      </c>
      <c r="C12" s="190" t="s">
        <v>31</v>
      </c>
      <c r="D12" s="190" t="s">
        <v>31</v>
      </c>
      <c r="E12" s="48" t="s">
        <v>47</v>
      </c>
      <c r="F12" s="349" t="s">
        <v>19</v>
      </c>
      <c r="G12" s="52" t="s">
        <v>36</v>
      </c>
      <c r="H12" s="32" t="s">
        <v>20</v>
      </c>
      <c r="I12" s="32"/>
      <c r="J12" s="24" t="s">
        <v>29</v>
      </c>
      <c r="K12" s="32"/>
      <c r="L12" s="172" t="s">
        <v>216</v>
      </c>
      <c r="M12" s="30"/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>
      <c r="A13" s="37" t="s">
        <v>30</v>
      </c>
      <c r="B13" s="38">
        <v>45972</v>
      </c>
      <c r="C13" s="229" t="s">
        <v>27</v>
      </c>
      <c r="D13" s="229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4"/>
      <c r="L13" s="185"/>
      <c r="M13" s="55"/>
      <c r="N13" s="176"/>
      <c r="O13" s="315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90" t="s">
        <v>34</v>
      </c>
      <c r="G14" s="190" t="s">
        <v>34</v>
      </c>
      <c r="H14" s="36" t="s">
        <v>21</v>
      </c>
      <c r="I14" s="32"/>
      <c r="J14" s="349" t="s">
        <v>19</v>
      </c>
      <c r="K14" s="28"/>
      <c r="L14" s="172" t="s">
        <v>216</v>
      </c>
      <c r="M14" s="30"/>
      <c r="N14" s="49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45974</v>
      </c>
      <c r="C15" s="27" t="s">
        <v>38</v>
      </c>
      <c r="D15" s="27" t="s">
        <v>38</v>
      </c>
      <c r="E15" s="287" t="s">
        <v>32</v>
      </c>
      <c r="F15" s="32" t="s">
        <v>37</v>
      </c>
      <c r="G15" s="361" t="s">
        <v>22</v>
      </c>
      <c r="H15" s="32" t="s">
        <v>20</v>
      </c>
      <c r="I15" s="32"/>
      <c r="J15" s="361" t="s">
        <v>22</v>
      </c>
      <c r="K15" s="32"/>
      <c r="L15" s="30"/>
      <c r="M15" s="30"/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45975</v>
      </c>
      <c r="C16" s="229" t="s">
        <v>31</v>
      </c>
      <c r="D16" s="229" t="s">
        <v>31</v>
      </c>
      <c r="E16" s="58" t="s">
        <v>47</v>
      </c>
      <c r="F16" s="289" t="s">
        <v>34</v>
      </c>
      <c r="G16" s="289" t="s">
        <v>34</v>
      </c>
      <c r="H16" s="39" t="s">
        <v>21</v>
      </c>
      <c r="I16" s="39"/>
      <c r="J16" s="42"/>
      <c r="K16" s="43"/>
      <c r="L16" s="55"/>
      <c r="M16" s="55"/>
      <c r="N16" s="135"/>
      <c r="O16" s="319"/>
      <c r="P16" s="311"/>
      <c r="Q16" s="311"/>
      <c r="R16" s="3"/>
      <c r="S16" s="3"/>
      <c r="T16" s="3"/>
    </row>
    <row r="17" spans="1:24" ht="12.75" customHeight="1">
      <c r="A17" s="37" t="s">
        <v>43</v>
      </c>
      <c r="B17" s="38">
        <v>45976</v>
      </c>
      <c r="C17" s="282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9" t="s">
        <v>36</v>
      </c>
      <c r="I17" s="288" t="s">
        <v>214</v>
      </c>
      <c r="J17" s="42"/>
      <c r="K17" s="43"/>
      <c r="L17" s="55"/>
      <c r="M17" s="55"/>
      <c r="N17" s="135"/>
      <c r="O17" s="319"/>
      <c r="P17" s="317"/>
      <c r="Q17" s="311"/>
      <c r="R17" s="3"/>
      <c r="S17" s="3"/>
      <c r="T17" s="3"/>
    </row>
    <row r="18" spans="1:24" ht="12.75" customHeight="1">
      <c r="A18" s="21" t="s">
        <v>18</v>
      </c>
      <c r="B18" s="290">
        <v>45977</v>
      </c>
      <c r="C18" s="32" t="s">
        <v>20</v>
      </c>
      <c r="D18" s="32" t="s">
        <v>20</v>
      </c>
      <c r="E18" s="190" t="s">
        <v>31</v>
      </c>
      <c r="F18" s="24" t="s">
        <v>32</v>
      </c>
      <c r="G18" s="24" t="s">
        <v>32</v>
      </c>
      <c r="H18" s="36" t="s">
        <v>21</v>
      </c>
      <c r="I18" s="288" t="s">
        <v>214</v>
      </c>
      <c r="J18" s="24" t="s">
        <v>48</v>
      </c>
      <c r="K18" s="32"/>
      <c r="L18" s="30" t="s">
        <v>156</v>
      </c>
      <c r="M18" s="30"/>
      <c r="N18" s="28"/>
      <c r="O18" s="313"/>
      <c r="P18" s="317"/>
      <c r="Q18" s="311"/>
      <c r="R18" s="3"/>
      <c r="S18" s="3"/>
      <c r="T18" s="3"/>
    </row>
    <row r="19" spans="1:24" ht="12.75" customHeight="1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13"/>
      <c r="P19" s="317"/>
      <c r="Q19" s="311"/>
      <c r="R19" s="3"/>
      <c r="S19" s="3"/>
      <c r="T19" s="3"/>
      <c r="U19" s="192"/>
    </row>
    <row r="20" spans="1:24" ht="12.75" customHeight="1">
      <c r="A20" s="21" t="s">
        <v>30</v>
      </c>
      <c r="B20" s="22">
        <v>45979</v>
      </c>
      <c r="C20" s="142" t="s">
        <v>38</v>
      </c>
      <c r="D20" s="27" t="s">
        <v>38</v>
      </c>
      <c r="E20" s="349" t="s">
        <v>19</v>
      </c>
      <c r="F20" s="350" t="s">
        <v>32</v>
      </c>
      <c r="G20" s="190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13"/>
      <c r="P20" s="317"/>
      <c r="Q20" s="311"/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45980</v>
      </c>
      <c r="C21" s="32" t="s">
        <v>20</v>
      </c>
      <c r="D21" s="361" t="s">
        <v>22</v>
      </c>
      <c r="E21" s="287" t="s">
        <v>32</v>
      </c>
      <c r="F21" s="48" t="s">
        <v>21</v>
      </c>
      <c r="G21" s="48" t="s">
        <v>28</v>
      </c>
      <c r="H21" s="48" t="s">
        <v>28</v>
      </c>
      <c r="I21" s="32"/>
      <c r="J21" s="361" t="s">
        <v>22</v>
      </c>
      <c r="K21" s="28"/>
      <c r="L21" s="30" t="s">
        <v>156</v>
      </c>
      <c r="M21" s="30"/>
      <c r="N21" s="28" t="s">
        <v>217</v>
      </c>
      <c r="O21" s="313"/>
      <c r="P21" s="317"/>
      <c r="Q21" s="311"/>
      <c r="R21" s="3"/>
      <c r="S21" s="3"/>
      <c r="T21" s="3"/>
    </row>
    <row r="22" spans="1:24" ht="12.75" customHeight="1">
      <c r="A22" s="21" t="s">
        <v>35</v>
      </c>
      <c r="B22" s="22">
        <v>45981</v>
      </c>
      <c r="C22" s="52" t="s">
        <v>36</v>
      </c>
      <c r="D22" s="52" t="s">
        <v>36</v>
      </c>
      <c r="E22" s="349" t="s">
        <v>19</v>
      </c>
      <c r="F22" s="350" t="s">
        <v>32</v>
      </c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13"/>
      <c r="P22" s="317"/>
      <c r="Q22" s="311"/>
      <c r="R22" s="3"/>
      <c r="S22" s="3"/>
      <c r="T22" s="3"/>
    </row>
    <row r="23" spans="1:24" ht="12.75" customHeight="1">
      <c r="A23" s="37" t="s">
        <v>41</v>
      </c>
      <c r="B23" s="38">
        <v>45982</v>
      </c>
      <c r="C23" s="229" t="s">
        <v>34</v>
      </c>
      <c r="D23" s="229" t="s">
        <v>34</v>
      </c>
      <c r="E23" s="24" t="s">
        <v>23</v>
      </c>
      <c r="F23" s="24" t="s">
        <v>29</v>
      </c>
      <c r="G23" s="24" t="s">
        <v>29</v>
      </c>
      <c r="H23" s="24" t="s">
        <v>102</v>
      </c>
      <c r="I23" s="39"/>
      <c r="J23" s="42"/>
      <c r="K23" s="43"/>
      <c r="L23" s="55"/>
      <c r="M23" s="55"/>
      <c r="N23" s="135"/>
      <c r="O23" s="319"/>
      <c r="P23" s="317"/>
      <c r="Q23" s="311"/>
      <c r="R23" s="3"/>
      <c r="S23" s="3"/>
      <c r="T23" s="3"/>
    </row>
    <row r="24" spans="1:24" ht="12.75" customHeight="1">
      <c r="A24" s="37" t="s">
        <v>43</v>
      </c>
      <c r="B24" s="38">
        <v>45983</v>
      </c>
      <c r="C24" s="229" t="s">
        <v>27</v>
      </c>
      <c r="D24" s="229" t="s">
        <v>27</v>
      </c>
      <c r="E24" s="24" t="s">
        <v>32</v>
      </c>
      <c r="F24" s="229" t="s">
        <v>36</v>
      </c>
      <c r="G24" s="229" t="s">
        <v>36</v>
      </c>
      <c r="H24" s="348" t="s">
        <v>197</v>
      </c>
      <c r="I24" s="291" t="s">
        <v>102</v>
      </c>
      <c r="J24" s="42"/>
      <c r="K24" s="43"/>
      <c r="L24" s="55"/>
      <c r="M24" s="55"/>
      <c r="N24" s="135"/>
      <c r="O24" s="319"/>
      <c r="P24" s="317"/>
      <c r="Q24" s="317"/>
      <c r="R24" s="3"/>
      <c r="S24" s="3"/>
      <c r="T24" s="3"/>
    </row>
    <row r="25" spans="1:24" ht="12.75" customHeight="1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326" t="s">
        <v>22</v>
      </c>
      <c r="I25" s="291" t="s">
        <v>44</v>
      </c>
      <c r="J25" s="24" t="s">
        <v>48</v>
      </c>
      <c r="K25" s="32"/>
      <c r="L25" s="30"/>
      <c r="M25" s="30"/>
      <c r="N25" s="28" t="s">
        <v>218</v>
      </c>
      <c r="O25" s="313"/>
      <c r="P25" s="311"/>
      <c r="Q25" s="317"/>
      <c r="R25" s="3"/>
      <c r="S25" s="3"/>
      <c r="T25" s="3"/>
    </row>
    <row r="26" spans="1:24" ht="13.5" customHeight="1">
      <c r="A26" s="195" t="s">
        <v>26</v>
      </c>
      <c r="B26" s="292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218</v>
      </c>
      <c r="O26" s="313"/>
      <c r="P26" s="311"/>
      <c r="Q26" s="317"/>
      <c r="R26" s="3"/>
      <c r="S26" s="3"/>
      <c r="T26" s="3"/>
    </row>
    <row r="27" spans="1:24" ht="12.75" customHeight="1">
      <c r="A27" s="21" t="s">
        <v>30</v>
      </c>
      <c r="B27" s="22">
        <v>45986</v>
      </c>
      <c r="C27" s="52" t="s">
        <v>36</v>
      </c>
      <c r="D27" s="52" t="s">
        <v>36</v>
      </c>
      <c r="E27" s="190" t="s">
        <v>31</v>
      </c>
      <c r="F27" s="32" t="s">
        <v>37</v>
      </c>
      <c r="G27" s="32" t="s">
        <v>27</v>
      </c>
      <c r="H27" s="24" t="s">
        <v>44</v>
      </c>
      <c r="I27" s="27"/>
      <c r="J27" s="361" t="s">
        <v>22</v>
      </c>
      <c r="K27" s="64"/>
      <c r="L27" s="180"/>
      <c r="M27" s="30"/>
      <c r="N27" s="28" t="s">
        <v>218</v>
      </c>
      <c r="O27" s="313"/>
      <c r="P27" s="311"/>
      <c r="Q27" s="317"/>
      <c r="R27" s="3"/>
      <c r="S27" s="3"/>
      <c r="T27" s="3"/>
    </row>
    <row r="28" spans="1:24" ht="12.75" customHeight="1">
      <c r="A28" s="170" t="s">
        <v>33</v>
      </c>
      <c r="B28" s="293">
        <v>45987</v>
      </c>
      <c r="C28" s="24" t="s">
        <v>23</v>
      </c>
      <c r="D28" s="190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80" t="s">
        <v>219</v>
      </c>
      <c r="M28" s="30"/>
      <c r="N28" s="28" t="s">
        <v>218</v>
      </c>
      <c r="O28" s="313"/>
      <c r="P28" s="311"/>
      <c r="Q28" s="317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294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5"/>
      <c r="L29" s="180" t="s">
        <v>219</v>
      </c>
      <c r="M29" s="30"/>
      <c r="N29" s="28" t="s">
        <v>218</v>
      </c>
      <c r="O29" s="313"/>
      <c r="P29" s="311"/>
      <c r="Q29" s="317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45989</v>
      </c>
      <c r="C30" s="282" t="s">
        <v>27</v>
      </c>
      <c r="D30" s="229" t="s">
        <v>27</v>
      </c>
      <c r="E30" s="24" t="s">
        <v>48</v>
      </c>
      <c r="F30" s="361" t="s">
        <v>22</v>
      </c>
      <c r="G30" s="361" t="s">
        <v>22</v>
      </c>
      <c r="H30" s="24" t="s">
        <v>44</v>
      </c>
      <c r="I30" s="39"/>
      <c r="J30" s="42"/>
      <c r="K30" s="43"/>
      <c r="L30" s="185"/>
      <c r="M30" s="44"/>
      <c r="N30" s="135"/>
      <c r="O30" s="319"/>
      <c r="P30" s="311"/>
      <c r="Q30" s="317"/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45990</v>
      </c>
      <c r="C31" s="229" t="s">
        <v>31</v>
      </c>
      <c r="D31" s="229" t="s">
        <v>31</v>
      </c>
      <c r="E31" s="24" t="s">
        <v>44</v>
      </c>
      <c r="F31" s="39" t="s">
        <v>42</v>
      </c>
      <c r="G31" s="39" t="s">
        <v>42</v>
      </c>
      <c r="H31" s="348" t="s">
        <v>197</v>
      </c>
      <c r="I31" s="291" t="s">
        <v>168</v>
      </c>
      <c r="J31" s="42"/>
      <c r="K31" s="43"/>
      <c r="L31" s="185"/>
      <c r="M31" s="44"/>
      <c r="N31" s="135"/>
      <c r="O31" s="319"/>
      <c r="P31" s="311"/>
      <c r="Q31" s="317"/>
      <c r="R31" s="3"/>
      <c r="S31" s="3"/>
      <c r="T31" s="3"/>
      <c r="U31" s="3"/>
      <c r="V31" s="3"/>
      <c r="W31" s="3"/>
      <c r="X31" s="3"/>
    </row>
    <row r="32" spans="1:24" ht="12.75" customHeight="1">
      <c r="A32" s="21" t="s">
        <v>18</v>
      </c>
      <c r="B32" s="22">
        <v>45991</v>
      </c>
      <c r="C32" s="296" t="s">
        <v>34</v>
      </c>
      <c r="D32" s="190" t="s">
        <v>34</v>
      </c>
      <c r="E32" s="24" t="s">
        <v>32</v>
      </c>
      <c r="F32" s="361" t="s">
        <v>22</v>
      </c>
      <c r="G32" s="361" t="s">
        <v>22</v>
      </c>
      <c r="H32" s="48" t="s">
        <v>21</v>
      </c>
      <c r="I32" s="291" t="s">
        <v>102</v>
      </c>
      <c r="J32" s="27" t="s">
        <v>38</v>
      </c>
      <c r="K32" s="28"/>
      <c r="L32" s="30" t="s">
        <v>52</v>
      </c>
      <c r="M32" s="30"/>
      <c r="N32" s="28" t="s">
        <v>220</v>
      </c>
      <c r="O32" s="313"/>
      <c r="P32" s="311"/>
      <c r="Q32" s="317"/>
    </row>
    <row r="33" spans="1:17" ht="12.75" customHeight="1">
      <c r="A33" s="283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49" t="s">
        <v>19</v>
      </c>
      <c r="K33" s="32"/>
      <c r="L33" s="30" t="s">
        <v>52</v>
      </c>
      <c r="M33" s="30"/>
      <c r="N33" s="28" t="s">
        <v>220</v>
      </c>
      <c r="O33" s="313"/>
      <c r="P33" s="311"/>
      <c r="Q33" s="317"/>
    </row>
    <row r="34" spans="1:17" ht="12.75" customHeight="1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220</v>
      </c>
      <c r="O34" s="313"/>
      <c r="P34" s="311"/>
      <c r="Q34" s="317"/>
    </row>
    <row r="35" spans="1:17" ht="12.75" customHeight="1">
      <c r="A35" s="21" t="s">
        <v>33</v>
      </c>
      <c r="B35" s="22">
        <v>45994</v>
      </c>
      <c r="C35" s="297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361" t="s">
        <v>22</v>
      </c>
      <c r="I35" s="32"/>
      <c r="J35" s="24" t="s">
        <v>29</v>
      </c>
      <c r="K35" s="36"/>
      <c r="L35" s="30" t="s">
        <v>52</v>
      </c>
      <c r="M35" s="30"/>
      <c r="N35" s="28" t="s">
        <v>220</v>
      </c>
      <c r="O35" s="313"/>
      <c r="P35" s="311"/>
      <c r="Q35" s="317"/>
    </row>
    <row r="36" spans="1:17" ht="12.75" customHeight="1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361" t="s">
        <v>22</v>
      </c>
      <c r="K36" s="295"/>
      <c r="L36" s="30" t="s">
        <v>52</v>
      </c>
      <c r="M36" s="30"/>
      <c r="N36" s="28" t="s">
        <v>220</v>
      </c>
      <c r="O36" s="313"/>
      <c r="P36" s="311"/>
      <c r="Q36" s="317"/>
    </row>
    <row r="37" spans="1:17" ht="12.75" customHeight="1">
      <c r="A37" s="37" t="s">
        <v>41</v>
      </c>
      <c r="B37" s="38">
        <v>45996</v>
      </c>
      <c r="C37" s="289" t="s">
        <v>19</v>
      </c>
      <c r="D37" s="289" t="s">
        <v>20</v>
      </c>
      <c r="E37" s="58" t="s">
        <v>47</v>
      </c>
      <c r="F37" s="39" t="s">
        <v>37</v>
      </c>
      <c r="G37" s="362" t="s">
        <v>22</v>
      </c>
      <c r="H37" s="39" t="s">
        <v>21</v>
      </c>
      <c r="I37" s="39"/>
      <c r="J37" s="42"/>
      <c r="K37" s="43"/>
      <c r="L37" s="185"/>
      <c r="M37" s="44"/>
      <c r="N37" s="135"/>
      <c r="O37" s="319"/>
      <c r="P37" s="311"/>
      <c r="Q37" s="317"/>
    </row>
    <row r="38" spans="1:17" ht="12.75" customHeight="1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91" t="s">
        <v>23</v>
      </c>
      <c r="J38" s="42"/>
      <c r="K38" s="43"/>
      <c r="L38" s="185"/>
      <c r="M38" s="44"/>
      <c r="N38" s="135"/>
      <c r="O38" s="319"/>
      <c r="P38" s="311"/>
      <c r="Q38" s="317"/>
    </row>
    <row r="39" spans="1:17" ht="12.75" customHeight="1">
      <c r="B39" s="71"/>
      <c r="F39" s="20"/>
      <c r="N39" s="57"/>
      <c r="O39" s="31"/>
    </row>
    <row r="40" spans="1:17" ht="12.75" customHeight="1">
      <c r="A40" s="370" t="s">
        <v>53</v>
      </c>
      <c r="B40" s="370"/>
      <c r="C40" s="370"/>
      <c r="D40" s="370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71" t="s">
        <v>57</v>
      </c>
      <c r="M42" s="371"/>
      <c r="N42" s="78"/>
    </row>
    <row r="43" spans="1:17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6" t="s">
        <v>64</v>
      </c>
      <c r="J43" s="366" t="s">
        <v>65</v>
      </c>
      <c r="K43" s="366" t="s">
        <v>66</v>
      </c>
      <c r="L43" s="270" t="s">
        <v>67</v>
      </c>
      <c r="M43" s="270" t="s">
        <v>68</v>
      </c>
    </row>
    <row r="44" spans="1:17" ht="12" customHeight="1">
      <c r="A44" s="73"/>
      <c r="B44" s="73"/>
      <c r="C44" s="82" t="s">
        <v>38</v>
      </c>
      <c r="D44" s="83">
        <v>1</v>
      </c>
      <c r="E44" s="84">
        <f>COUNTIF($C$4:$C$38,"BOULAT")+COUNTIF($F$4:$F$38,"BOULAT")+COUNTIF($J$4:$J$38,"BOULAT")+COUNTIF($H$4:$H$38,"BOULAT")</f>
        <v>8</v>
      </c>
      <c r="F44" s="84">
        <f>COUNTIF($D$4:$D$38,"BOULAT")+COUNTIF($G$4:$G$38,"BOULAT")</f>
        <v>8</v>
      </c>
      <c r="G44" s="84">
        <f>COUNTIF($E$4:$E$38,"BOULAT")</f>
        <v>0</v>
      </c>
      <c r="H44" s="82"/>
      <c r="I44" s="86"/>
      <c r="J44" s="298">
        <f t="shared" ref="J44:J49" si="0">D44*((9*$D$42)-($F$42*9/5))-(D44*(I44*1.8))</f>
        <v>43.2</v>
      </c>
      <c r="K44" s="86">
        <f t="shared" ref="K44:K63" si="1">D44*((39*$D$42)-($F$42*39/5))-(I44*7.8)</f>
        <v>187.2</v>
      </c>
      <c r="L44" s="86">
        <f>E44*10+F44*14+G44*12</f>
        <v>192</v>
      </c>
      <c r="M44" s="238">
        <f t="shared" ref="M44:M63" si="2">L44-K44</f>
        <v>4.8000000000000114</v>
      </c>
    </row>
    <row r="45" spans="1:17" ht="12.75" customHeight="1">
      <c r="A45" s="73"/>
      <c r="B45" s="73"/>
      <c r="C45" s="82" t="s">
        <v>36</v>
      </c>
      <c r="D45" s="83">
        <v>1</v>
      </c>
      <c r="E45" s="84">
        <f>COUNTIF($C$4:$C$38,"BRUGIROUX")+COUNTIF($F$4:$F$38,"BRUGIROUX")+COUNTIF($H$4:$H$38,"BRUGIROUX")+COUNTIF($J$4:$J$38,"BRUGIROUX")</f>
        <v>9</v>
      </c>
      <c r="F45" s="84">
        <f>COUNTIF($D$4:$D$38,"BRUGIROUX")+COUNTIF($G$4:$G$38,"BRUGIROUX")</f>
        <v>8</v>
      </c>
      <c r="G45" s="84">
        <f>COUNTIF($E$4:$E$38,"BRUGIROUX")</f>
        <v>0</v>
      </c>
      <c r="H45" s="84">
        <f>COUNTIF($K$4:$K$38,"BRUGIROUX")</f>
        <v>0</v>
      </c>
      <c r="I45" s="86">
        <v>9</v>
      </c>
      <c r="J45" s="85">
        <f t="shared" si="0"/>
        <v>27.000000000000004</v>
      </c>
      <c r="K45" s="86">
        <f t="shared" si="1"/>
        <v>116.99999999999999</v>
      </c>
      <c r="L45" s="86">
        <f>E45*10+F45*14+G45*12+H45*10</f>
        <v>202</v>
      </c>
      <c r="M45" s="238">
        <f t="shared" si="2"/>
        <v>85.000000000000014</v>
      </c>
    </row>
    <row r="46" spans="1:17" ht="12.75" customHeight="1">
      <c r="A46" s="73"/>
      <c r="B46" s="73"/>
      <c r="C46" s="82" t="s">
        <v>21</v>
      </c>
      <c r="D46" s="278">
        <v>0.5</v>
      </c>
      <c r="E46" s="84">
        <f>COUNTIF($C$4:$C$38,"CAUVY")+COUNTIF($F$4:$F$38,"CAUVY")+COUNTIF($H$4:$H$38,"CAUVY")+COUNTIF($J$4:$J$38,"CAUVY")</f>
        <v>12</v>
      </c>
      <c r="F46" s="84">
        <f>COUNTIF($D$4:$D$38,"CAUVY")+COUNTIF($G$4:$G$38,"CAUVY")</f>
        <v>0</v>
      </c>
      <c r="G46" s="84">
        <f>COUNTIF($E$4:$E$38,"CAUVY")</f>
        <v>1</v>
      </c>
      <c r="H46" s="84"/>
      <c r="I46" s="86"/>
      <c r="J46" s="85">
        <f t="shared" si="0"/>
        <v>21.6</v>
      </c>
      <c r="K46" s="86">
        <f t="shared" si="1"/>
        <v>93.6</v>
      </c>
      <c r="L46" s="86">
        <f>E46*10+F46*14+G46*12</f>
        <v>132</v>
      </c>
      <c r="M46" s="238">
        <f t="shared" si="2"/>
        <v>38.400000000000006</v>
      </c>
    </row>
    <row r="47" spans="1:17" ht="12" customHeight="1">
      <c r="A47" s="73"/>
      <c r="B47" s="73"/>
      <c r="C47" s="82" t="s">
        <v>31</v>
      </c>
      <c r="D47" s="278">
        <v>0.8</v>
      </c>
      <c r="E47" s="84">
        <f>COUNTIF($C$4:$C$38,"FONTAINE")+COUNTIF($F$4:$F$38,"FONTAINE")+COUNTIF($J$4:$J$38,"FONTAINE")+COUNTIF($H$4:$H$38,"FONTAINE")</f>
        <v>6</v>
      </c>
      <c r="F47" s="84">
        <f>COUNTIF($D$4:$D$38,"FONTAINE")+COUNTIF($G$4:$G$38,"FONTAINE")</f>
        <v>8</v>
      </c>
      <c r="G47" s="84">
        <f>COUNTIF($E$4:$E$38,"FONTAINE")</f>
        <v>2</v>
      </c>
      <c r="H47" s="82"/>
      <c r="I47" s="86">
        <v>3</v>
      </c>
      <c r="J47" s="85">
        <f t="shared" si="0"/>
        <v>30.240000000000002</v>
      </c>
      <c r="K47" s="86">
        <f t="shared" si="1"/>
        <v>126.35999999999999</v>
      </c>
      <c r="L47" s="86">
        <f>E47*10+F47*14+G47*12</f>
        <v>196</v>
      </c>
      <c r="M47" s="238">
        <f t="shared" si="2"/>
        <v>69.640000000000015</v>
      </c>
    </row>
    <row r="48" spans="1:17" ht="12" customHeight="1">
      <c r="A48" s="3"/>
      <c r="B48" s="3"/>
      <c r="C48" s="86" t="s">
        <v>28</v>
      </c>
      <c r="D48" s="279">
        <v>0.6</v>
      </c>
      <c r="E48" s="84">
        <f>COUNTIF($C$4:$C$38,"KANTCHE")+COUNTIF($F$4:$F$38,"KANTCHE")+COUNTIF($H$4:$H$38,"KANTCHE")+COUNTIF($J$4:$J$38,"KANTCHE")</f>
        <v>5</v>
      </c>
      <c r="F48" s="84">
        <f>COUNTIF($D$4:$D$38,"KANTCHE")+COUNTIF($G$4:$G$38,"KANTCHE")</f>
        <v>2</v>
      </c>
      <c r="G48" s="84">
        <f>COUNTIF($E$4:$E$38,"KANTCHE")</f>
        <v>4</v>
      </c>
      <c r="H48" s="86"/>
      <c r="I48" s="86"/>
      <c r="J48" s="85">
        <f t="shared" si="0"/>
        <v>25.92</v>
      </c>
      <c r="K48" s="86">
        <f t="shared" si="1"/>
        <v>112.32</v>
      </c>
      <c r="L48" s="86">
        <f>E48*10+F48*14+G48*12</f>
        <v>126</v>
      </c>
      <c r="M48" s="238">
        <f t="shared" si="2"/>
        <v>13.680000000000007</v>
      </c>
      <c r="N48" s="3"/>
      <c r="O48" s="3"/>
    </row>
    <row r="49" spans="1:21" ht="12" customHeight="1">
      <c r="A49" s="3"/>
      <c r="B49" s="3"/>
      <c r="C49" s="86" t="s">
        <v>42</v>
      </c>
      <c r="D49" s="279">
        <v>1</v>
      </c>
      <c r="E49" s="84">
        <f>COUNTIF($C$4:$C$38,"ORIOLI")+COUNTIF($F$4:$F$38,"ORIOLI")+COUNTIF($H$4:$H$38,"ORIOLI")+COUNTIF($J$4:$J$38,"ORIOLI")</f>
        <v>7</v>
      </c>
      <c r="F49" s="84">
        <f>COUNTIF($D$4:$D$38,"ORIOLI")+COUNTIF($G$4:$G$38,"ORIOLI")</f>
        <v>6</v>
      </c>
      <c r="G49" s="84">
        <f>COUNTIF($E$4:$E$38,"ORIOLI")</f>
        <v>0</v>
      </c>
      <c r="H49" s="86"/>
      <c r="I49" s="86"/>
      <c r="J49" s="85">
        <f t="shared" si="0"/>
        <v>43.2</v>
      </c>
      <c r="K49" s="86">
        <f t="shared" si="1"/>
        <v>187.2</v>
      </c>
      <c r="L49" s="86">
        <f>E49*10+F49*14+G49*12</f>
        <v>154</v>
      </c>
      <c r="M49" s="240">
        <f t="shared" si="2"/>
        <v>-33.199999999999989</v>
      </c>
      <c r="N49" s="3"/>
      <c r="O49" s="3"/>
    </row>
    <row r="50" spans="1:21" ht="12" customHeight="1">
      <c r="A50" s="3"/>
      <c r="B50" s="3"/>
      <c r="C50" s="86" t="s">
        <v>47</v>
      </c>
      <c r="D50" s="279">
        <v>0.5</v>
      </c>
      <c r="E50" s="84">
        <f>COUNTIF($C$4:$C$38,"TKATCHOUK")+COUNTIF($F$4:$F$38,"TKATCHOUK")+COUNTIF($H$4:$H$38,"TKATCHOUK")+COUNTIF($J$4:$J$38,"TKATCHOUK")</f>
        <v>0</v>
      </c>
      <c r="F50" s="84">
        <f>COUNTIF($D$4:$D$38,"TKATCHOUK")+COUNTIF($G$4:$G$38,"TKATCHOUK")</f>
        <v>0</v>
      </c>
      <c r="G50" s="84">
        <f>COUNTIF($E$4:$E$38,"TKATCHOUK")</f>
        <v>10</v>
      </c>
      <c r="H50" s="86"/>
      <c r="I50" s="86"/>
      <c r="J50" s="85">
        <v>13</v>
      </c>
      <c r="K50" s="86">
        <f t="shared" si="1"/>
        <v>93.6</v>
      </c>
      <c r="L50" s="86">
        <f>E50*10+F50*14+G50*12</f>
        <v>120</v>
      </c>
      <c r="M50" s="238">
        <f t="shared" si="2"/>
        <v>26.400000000000006</v>
      </c>
      <c r="N50" s="3"/>
      <c r="O50" s="3"/>
      <c r="P50" s="3"/>
      <c r="Q50" s="3"/>
    </row>
    <row r="51" spans="1:21" ht="12" customHeight="1">
      <c r="A51" s="3"/>
      <c r="B51" s="3"/>
      <c r="C51" s="86" t="s">
        <v>20</v>
      </c>
      <c r="D51" s="279">
        <v>1</v>
      </c>
      <c r="E51" s="84">
        <f>COUNTIF($C$4:$C$38,"TORREGROSSA")+COUNTIF($F$4:$F$38,"TORREGROSSA")+COUNTIF($H$4:$H$38,"TORREGROSSA")+COUNTIF($J$4:$J$38,"TORREGROSSA")</f>
        <v>8</v>
      </c>
      <c r="F51" s="84">
        <f>COUNTIF($D$4:$D$38,"TORREGROSSA")+COUNTIF($G$4:$G$38,"TORREGROSSA")</f>
        <v>5</v>
      </c>
      <c r="G51" s="84">
        <f>COUNTIF($E$4:$E$38,"TORREGROSSA")</f>
        <v>2</v>
      </c>
      <c r="H51" s="84">
        <f>COUNTIF($K$4:$K$38,"TORREGROSSA")</f>
        <v>0</v>
      </c>
      <c r="I51" s="86">
        <v>5</v>
      </c>
      <c r="J51" s="85">
        <f t="shared" ref="J51:J63" si="3">D51*((9*$D$42)-($F$42*9/5))-(D51*(I51*1.8))</f>
        <v>34.200000000000003</v>
      </c>
      <c r="K51" s="86">
        <f t="shared" si="1"/>
        <v>148.19999999999999</v>
      </c>
      <c r="L51" s="86">
        <f>E51*10+F51*14+G51*12+H51*10</f>
        <v>174</v>
      </c>
      <c r="M51" s="238">
        <f t="shared" si="2"/>
        <v>25.800000000000011</v>
      </c>
      <c r="N51" s="3"/>
      <c r="O51" s="3"/>
      <c r="P51" s="3"/>
      <c r="Q51" s="3"/>
      <c r="R51" s="3"/>
      <c r="S51" s="3"/>
    </row>
    <row r="52" spans="1:21" ht="12" customHeight="1">
      <c r="A52" s="3"/>
      <c r="B52" s="3"/>
      <c r="C52" s="86" t="s">
        <v>19</v>
      </c>
      <c r="D52" s="279">
        <v>0.4</v>
      </c>
      <c r="E52" s="84">
        <f>COUNTIF($C$4:$C$38,"BALLOT")+COUNTIF($F$4:$F$38,"BALLOT")+COUNTIF($H$4:$H$38,"BALLOT")+COUNTIF($J$4:$J$38,"BALLOT")</f>
        <v>5</v>
      </c>
      <c r="F52" s="84">
        <f>COUNTIF($D$4:$D$38,"BALLOT")+COUNTIF($G$4:$G$38,"BALLOT")</f>
        <v>0</v>
      </c>
      <c r="G52" s="84">
        <f>COUNTIF($E$4:$E$38,"BALLOT")</f>
        <v>3</v>
      </c>
      <c r="H52" s="84"/>
      <c r="I52" s="86"/>
      <c r="J52" s="85">
        <f t="shared" si="3"/>
        <v>17.28</v>
      </c>
      <c r="K52" s="86">
        <f t="shared" si="1"/>
        <v>74.88</v>
      </c>
      <c r="L52" s="86">
        <f t="shared" ref="L52:L63" si="4">E52*10+F52*14+G52*12</f>
        <v>86</v>
      </c>
      <c r="M52" s="240">
        <f t="shared" si="2"/>
        <v>11.120000000000005</v>
      </c>
      <c r="N52" s="3"/>
      <c r="O52" s="3"/>
      <c r="P52" s="3"/>
      <c r="Q52" s="3"/>
      <c r="R52" s="3"/>
      <c r="S52" s="3"/>
    </row>
    <row r="53" spans="1:21" ht="12" customHeight="1">
      <c r="A53" s="3"/>
      <c r="B53" s="3"/>
      <c r="C53" s="86" t="s">
        <v>37</v>
      </c>
      <c r="D53" s="279">
        <v>0.4</v>
      </c>
      <c r="E53" s="84">
        <f>COUNTIF($C$4:$C$38,"MOREL")+COUNTIF($F$4:$F$38,"MOREL")+COUNTIF($H$4:$H$38,"MOREL")+COUNTIF($J$4:$J$38,"MOREL")</f>
        <v>8</v>
      </c>
      <c r="F53" s="84">
        <f>COUNTIF($D$4:$D$38,"MOREL")+COUNTIF($G$4:$G$38,"MOREL")</f>
        <v>0</v>
      </c>
      <c r="G53" s="84">
        <f>COUNTIF($E$4:$E$38,"MOREL")</f>
        <v>0</v>
      </c>
      <c r="H53" s="84"/>
      <c r="I53" s="86"/>
      <c r="J53" s="85">
        <f t="shared" si="3"/>
        <v>17.28</v>
      </c>
      <c r="K53" s="86">
        <f t="shared" si="1"/>
        <v>74.88</v>
      </c>
      <c r="L53" s="86">
        <f t="shared" si="4"/>
        <v>80</v>
      </c>
      <c r="M53" s="238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>
      <c r="A54" s="3"/>
      <c r="B54" s="3"/>
      <c r="C54" s="86" t="s">
        <v>27</v>
      </c>
      <c r="D54" s="279">
        <v>0.8</v>
      </c>
      <c r="E54" s="84">
        <f>COUNTIF($C$4:$C$38,"RACHIDI")+COUNTIF($F$4:$F$38,"RACHIDI")+COUNTIF($H$4:$H$38,"RACHIDI")+COUNTIF($J$4:$J$38,"RACHIDI")</f>
        <v>7</v>
      </c>
      <c r="F54" s="84">
        <f>COUNTIF($D$4:$D$38,"RACHIDI")+COUNTIF($G$4:$G$38,"RACHIDI")</f>
        <v>9</v>
      </c>
      <c r="G54" s="84">
        <f>COUNTIF($E$4:$E$38,"RACHIDI")</f>
        <v>0</v>
      </c>
      <c r="H54" s="84"/>
      <c r="I54" s="86"/>
      <c r="J54" s="85">
        <f t="shared" si="3"/>
        <v>34.56</v>
      </c>
      <c r="K54" s="86">
        <f t="shared" si="1"/>
        <v>149.76</v>
      </c>
      <c r="L54" s="86">
        <f t="shared" si="4"/>
        <v>196</v>
      </c>
      <c r="M54" s="238">
        <f t="shared" si="2"/>
        <v>46.240000000000009</v>
      </c>
      <c r="N54" s="3"/>
      <c r="O54" s="3"/>
      <c r="P54" s="3"/>
      <c r="Q54" s="3"/>
      <c r="R54" s="3"/>
      <c r="S54" s="3"/>
    </row>
    <row r="55" spans="1:21" ht="12" customHeight="1">
      <c r="A55" s="3"/>
      <c r="B55" s="3"/>
      <c r="C55" s="86" t="s">
        <v>34</v>
      </c>
      <c r="D55" s="279">
        <v>1</v>
      </c>
      <c r="E55" s="84">
        <f>COUNTIF($C$4:$C$38,"ZEBICHE")+COUNTIF($F$4:$F$38,"ZEBICHE")+COUNTIF($H$4:$H$38,"ZEBICHE")+COUNTIF($J$4:$J$38,"ZEBICHE")</f>
        <v>8</v>
      </c>
      <c r="F55" s="84">
        <f>COUNTIF($D$4:$D$38,"ZEBICHE")+COUNTIF($G$4:$G$38,"ZEBICHE")</f>
        <v>7</v>
      </c>
      <c r="G55" s="84">
        <f>COUNTIF($E$4:$E$38,"ZEBICHE")</f>
        <v>0</v>
      </c>
      <c r="H55" s="84"/>
      <c r="I55" s="86">
        <v>4</v>
      </c>
      <c r="J55" s="85">
        <f t="shared" si="3"/>
        <v>36</v>
      </c>
      <c r="K55" s="86">
        <f t="shared" si="1"/>
        <v>156</v>
      </c>
      <c r="L55" s="86">
        <f t="shared" si="4"/>
        <v>178</v>
      </c>
      <c r="M55" s="238">
        <f t="shared" si="2"/>
        <v>22</v>
      </c>
      <c r="N55" s="3"/>
      <c r="O55" s="3"/>
      <c r="P55" s="3"/>
      <c r="Q55" s="3"/>
      <c r="R55" s="3"/>
      <c r="S55" s="3"/>
    </row>
    <row r="56" spans="1:21" ht="12" customHeight="1">
      <c r="A56" s="3"/>
      <c r="B56" s="3"/>
      <c r="C56" s="86" t="s">
        <v>22</v>
      </c>
      <c r="D56" s="279">
        <v>1</v>
      </c>
      <c r="E56" s="280">
        <f>COUNTIF($C$4:$C$38,"HACHIMI")+COUNTIF($F$4:$F$38,"HACHIMI")+COUNTIF($H$4:$H$38,"HACHIMI")+COUNTIF($I$4:$I$38,"HACHIMI")+COUNTIF($J$4:$J$38,"HACHIMI")+D65</f>
        <v>11</v>
      </c>
      <c r="F56" s="84">
        <f>COUNTIF($D$4:$D$38,"HACHIMI")+COUNTIF($I$4:$I$38,"HACHIMI")+COUNTIF($G$4:$G$38,"HACHIMI")</f>
        <v>5</v>
      </c>
      <c r="G56" s="84">
        <f>COUNTIF($E$4:$E$38,"HACHIMI")</f>
        <v>0</v>
      </c>
      <c r="H56" s="84"/>
      <c r="I56" s="86"/>
      <c r="J56" s="85">
        <f t="shared" si="3"/>
        <v>43.2</v>
      </c>
      <c r="K56" s="86">
        <f t="shared" si="1"/>
        <v>187.2</v>
      </c>
      <c r="L56" s="86">
        <f t="shared" si="4"/>
        <v>180</v>
      </c>
      <c r="M56" s="240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>
      <c r="A57" s="3"/>
      <c r="B57" s="3"/>
      <c r="C57" s="86" t="s">
        <v>29</v>
      </c>
      <c r="D57" s="279">
        <v>1</v>
      </c>
      <c r="E57" s="84">
        <f>COUNTIF($C$4:$C$38,"BIENDOUX")+COUNTIF($F$4:$F$38,"BIENDOUX")+COUNTIF($H$4:$H$38,"BIENDOUX")+COUNTIF($J$4:$J$38,"BIENDOUX")+COUNTIF($I$4:$I$38,"BIENDOUX")+D66</f>
        <v>11</v>
      </c>
      <c r="F57" s="84">
        <f>COUNTIF($D$4:$D$38,"BIENDOUX")+COUNTIF($I$4:$I$38,"BIENDOUX")+COUNTIF($G$4:$G$38,"BIENDOUX")</f>
        <v>4</v>
      </c>
      <c r="G57" s="84">
        <f>COUNTIF($E$4:$E$38,"BIENDOUX")</f>
        <v>1</v>
      </c>
      <c r="H57" s="84"/>
      <c r="I57" s="86"/>
      <c r="J57" s="85">
        <f t="shared" si="3"/>
        <v>43.2</v>
      </c>
      <c r="K57" s="86">
        <f t="shared" si="1"/>
        <v>187.2</v>
      </c>
      <c r="L57" s="86">
        <f t="shared" si="4"/>
        <v>178</v>
      </c>
      <c r="M57" s="240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>
      <c r="A58" s="3"/>
      <c r="B58" s="3"/>
      <c r="C58" s="86" t="s">
        <v>48</v>
      </c>
      <c r="D58" s="279">
        <v>1</v>
      </c>
      <c r="E58" s="280">
        <f>COUNTIF($C$4:$C$38,"AFZAL")+COUNTIF($F$4:$F$38,"AFZAL")+COUNTIF($H$4:$H$38,"AFZAL")+COUNTIF($J$4:$J$38,"AFZAL")+COUNTIF($I$4:$I$38,"AFZAL")+D67</f>
        <v>7</v>
      </c>
      <c r="F58" s="84">
        <f>COUNTIF($D$4:$D$38,"AFZAL")+COUNTIF($I$4:$I$38,"AFZAL")+COUNTIF($G$4:$G$38,"AFZAL")</f>
        <v>3</v>
      </c>
      <c r="G58" s="84">
        <f>COUNTIF($E$4:$E$38,"AFZAL")</f>
        <v>1</v>
      </c>
      <c r="H58" s="84"/>
      <c r="I58" s="86">
        <v>8</v>
      </c>
      <c r="J58" s="85">
        <f t="shared" si="3"/>
        <v>28.800000000000004</v>
      </c>
      <c r="K58" s="86">
        <f t="shared" si="1"/>
        <v>124.79999999999998</v>
      </c>
      <c r="L58" s="86">
        <f t="shared" si="4"/>
        <v>124</v>
      </c>
      <c r="M58" s="240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>
      <c r="A59" s="3"/>
      <c r="B59" s="3"/>
      <c r="C59" s="86" t="s">
        <v>44</v>
      </c>
      <c r="D59" s="279">
        <v>1</v>
      </c>
      <c r="E59" s="84">
        <f>COUNTIF($C$4:$C$38,"IBRAHIM")+COUNTIF($F$4:$F$38,"IBRAHIM")+COUNTIF($H$4:$H$38,"IBRAHIM")+COUNTIF($I$4:$I$38,"IBRAHIM")+D68+COUNTIF($J$4:$J$38,"IBRAHIM")</f>
        <v>4</v>
      </c>
      <c r="F59" s="84">
        <f>COUNTIF($D$4:$D$38,"IBRAHIM")+COUNTIF($I$4:$I$38,"IBRAHIM")+COUNTIF($G$4:$G$38,"IBRAHIM")</f>
        <v>1</v>
      </c>
      <c r="G59" s="84">
        <f>COUNTIF($E$4:$E$38,"IBRAHIM")</f>
        <v>2</v>
      </c>
      <c r="H59" s="84"/>
      <c r="I59" s="86"/>
      <c r="J59" s="85">
        <f t="shared" si="3"/>
        <v>43.2</v>
      </c>
      <c r="K59" s="86">
        <f t="shared" si="1"/>
        <v>187.2</v>
      </c>
      <c r="L59" s="86">
        <f t="shared" si="4"/>
        <v>78</v>
      </c>
      <c r="M59" s="240">
        <f t="shared" si="2"/>
        <v>-109.19999999999999</v>
      </c>
      <c r="N59" s="3"/>
      <c r="O59" s="3"/>
      <c r="P59" s="3"/>
      <c r="Q59" s="3"/>
      <c r="R59" s="3"/>
      <c r="S59" s="3"/>
      <c r="T59" s="3"/>
    </row>
    <row r="60" spans="1:21" ht="12" customHeight="1">
      <c r="A60" s="3"/>
      <c r="B60" s="3"/>
      <c r="C60" s="86" t="s">
        <v>23</v>
      </c>
      <c r="D60" s="279">
        <v>1</v>
      </c>
      <c r="E60" s="84">
        <f>COUNTIF($C$4:$C$38,"IMAD")+COUNTIF($F$4:$F$38,"IMAD")+COUNTIF($H$4:$H$38,"IMAD")+COUNTIF($I$4:$I$38,"IMAD")+D69+COUNTIF($J$4:$J$38,"IMAD")</f>
        <v>7</v>
      </c>
      <c r="F60" s="84">
        <f>COUNTIF($D$4:$D$38,"IMAD")+COUNTIF($I$4:$I$38,"IMAD")+COUNTIF($G$4:$G$38,"IMAD")</f>
        <v>1</v>
      </c>
      <c r="G60" s="84">
        <f>COUNTIF($E$4:$E$38,"IMAD")</f>
        <v>2</v>
      </c>
      <c r="H60" s="84"/>
      <c r="I60" s="86"/>
      <c r="J60" s="85">
        <f t="shared" si="3"/>
        <v>43.2</v>
      </c>
      <c r="K60" s="86">
        <f t="shared" si="1"/>
        <v>187.2</v>
      </c>
      <c r="L60" s="86">
        <f t="shared" si="4"/>
        <v>108</v>
      </c>
      <c r="M60" s="240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>
      <c r="A61" s="3"/>
      <c r="B61" s="3"/>
      <c r="C61" s="86" t="s">
        <v>32</v>
      </c>
      <c r="D61" s="279">
        <v>1</v>
      </c>
      <c r="E61" s="84">
        <f>COUNTIF($C$4:$C$38,"RADO")+COUNTIF($F$4:$F$38,"RADO")+COUNTIF($H$4:$H$38,"RADO")+COUNTIF($I$4:$I$38,"RADO")+D70+COUNTIF($J$4:$J$38,"RADO")</f>
        <v>8</v>
      </c>
      <c r="F61" s="84">
        <f>COUNTIF($D$4:$D$38,"RADO")+COUNTIF($I$4:$I$38,"RADO")+COUNTIF($G$4:$G$38,"RADO")</f>
        <v>5</v>
      </c>
      <c r="G61" s="84">
        <f>COUNTIF($E$4:$E$38,"RADO")</f>
        <v>5</v>
      </c>
      <c r="H61" s="84"/>
      <c r="I61" s="86">
        <v>3</v>
      </c>
      <c r="J61" s="85">
        <f t="shared" si="3"/>
        <v>37.800000000000004</v>
      </c>
      <c r="K61" s="86">
        <f t="shared" si="1"/>
        <v>163.79999999999998</v>
      </c>
      <c r="L61" s="86">
        <f t="shared" si="4"/>
        <v>210</v>
      </c>
      <c r="M61" s="325">
        <f t="shared" si="2"/>
        <v>46.200000000000017</v>
      </c>
      <c r="N61" s="3"/>
      <c r="O61" s="3"/>
      <c r="P61" s="3"/>
      <c r="Q61" s="3"/>
      <c r="R61" s="3"/>
      <c r="S61" s="3"/>
      <c r="T61" s="3"/>
    </row>
    <row r="62" spans="1:21" ht="12" customHeight="1">
      <c r="A62" s="3"/>
      <c r="B62" s="3"/>
      <c r="C62" s="86" t="s">
        <v>102</v>
      </c>
      <c r="D62" s="279">
        <v>1</v>
      </c>
      <c r="E62" s="84">
        <f>COUNTIF($C$4:$C$38,"TODY")+COUNTIF($F$4:$F$38,"TODY")+COUNTIF($H$4:$H$38,"TODY")+COUNTIF($I$4:$I$38,"TODY")+D71+COUNTIF($J$4:$J$38,"TODY")</f>
        <v>4</v>
      </c>
      <c r="F62" s="84">
        <f>COUNTIF($D$4:$D$38,"TODY")+COUNTIF($I$4:$I$38,"TODY")+COUNTIF($G$4:$G$38,"TODY")</f>
        <v>2</v>
      </c>
      <c r="G62" s="84">
        <f>COUNTIF($E$4:$E$38,"TODY")</f>
        <v>2</v>
      </c>
      <c r="H62" s="84"/>
      <c r="I62" s="86">
        <v>3</v>
      </c>
      <c r="J62" s="85">
        <f t="shared" si="3"/>
        <v>37.800000000000004</v>
      </c>
      <c r="K62" s="86">
        <f t="shared" si="1"/>
        <v>163.79999999999998</v>
      </c>
      <c r="L62" s="86">
        <f t="shared" si="4"/>
        <v>92</v>
      </c>
      <c r="M62" s="240">
        <f t="shared" si="2"/>
        <v>-71.799999999999983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188" t="s">
        <v>168</v>
      </c>
      <c r="D63" s="279">
        <v>1</v>
      </c>
      <c r="E63" s="84">
        <f>COUNTIF($C$4:$C$38,"RODRIGUE")+COUNTIF($F$4:$F$38,"RODRIGUE")+COUNTIF($H$4:$H$38,"RODRIGUE")+COUNTIF($I$4:$I$38,"RODRIGUE")+D72+COUNTIF($J$4:$J$38,"RODRIGUE")</f>
        <v>7</v>
      </c>
      <c r="F63" s="84">
        <f>COUNTIF($D$4:$D$38,"RODRIGUE")+COUNTIF($I$4:$I$38,"RODRIGUE")+COUNTIF($G$4:$G$38,"RODRIGUE")</f>
        <v>1</v>
      </c>
      <c r="G63" s="84">
        <f>COUNTIF($E$4:$E$38,"RODRIGUE")</f>
        <v>0</v>
      </c>
      <c r="H63" s="84"/>
      <c r="I63" s="86">
        <v>3</v>
      </c>
      <c r="J63" s="85">
        <f t="shared" si="3"/>
        <v>37.800000000000004</v>
      </c>
      <c r="K63" s="86">
        <f t="shared" si="1"/>
        <v>163.79999999999998</v>
      </c>
      <c r="L63" s="86">
        <f t="shared" si="4"/>
        <v>84</v>
      </c>
      <c r="M63" s="238">
        <f t="shared" si="2"/>
        <v>-79.799999999999983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98" t="s">
        <v>71</v>
      </c>
      <c r="D64" s="98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22</v>
      </c>
      <c r="D65" s="102"/>
      <c r="E65" s="72"/>
      <c r="F65" s="199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86" t="s">
        <v>29</v>
      </c>
      <c r="D66" s="10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86" t="s">
        <v>48</v>
      </c>
      <c r="D67" s="102"/>
      <c r="E67" s="72"/>
      <c r="F67" s="199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86" t="s">
        <v>44</v>
      </c>
      <c r="D68" s="102"/>
      <c r="E68" s="199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86" t="s">
        <v>23</v>
      </c>
      <c r="D69" s="102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86" t="s">
        <v>32</v>
      </c>
      <c r="D70" s="102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86" t="s">
        <v>102</v>
      </c>
      <c r="D71" s="102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188" t="s">
        <v>168</v>
      </c>
      <c r="D72" s="102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F9:K9 C6:D8 C38:G38 F6:M6 C31:J32 D12 H10:K10 E7:M7 D11:L11 F12:H14 J12 L12 F33:J33 C14:D23 L14 E18:J18 I16:K16 C25:J25 E17:K17 E19:F24 I19:K19 G20:K21 E8:L8 K23:K26 E15:K15 E26:J26 C27:J28 K28:K33 C29:E29 H29:J29 E30:J30 G22:J24 C33:D36 E5:L5 E34:J34 F35:K35 E36:K36 F37:G37 I37:K38 C10:C12 D10 I13:K14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tabSelected="1" zoomScale="111" zoomScaleNormal="111" workbookViewId="0">
      <selection activeCell="H13" sqref="H13"/>
    </sheetView>
  </sheetViews>
  <sheetFormatPr defaultColWidth="17.125" defaultRowHeight="12.75"/>
  <cols>
    <col min="1" max="1" width="8.5" style="1" customWidth="1"/>
    <col min="2" max="2" width="9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125" style="1" customWidth="1"/>
    <col min="9" max="9" width="12.5" style="2" customWidth="1"/>
    <col min="10" max="10" width="13" style="1" customWidth="1"/>
    <col min="11" max="11" width="13.5" style="1" customWidth="1"/>
    <col min="12" max="12" width="15" style="1" customWidth="1"/>
    <col min="13" max="13" width="8" style="1" customWidth="1"/>
    <col min="14" max="14" width="1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7" t="s">
        <v>221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68" t="s">
        <v>1</v>
      </c>
      <c r="D2" s="368"/>
      <c r="E2" s="4" t="s">
        <v>2</v>
      </c>
      <c r="F2" s="369" t="s">
        <v>3</v>
      </c>
      <c r="G2" s="369"/>
      <c r="H2" s="5"/>
      <c r="I2" s="6"/>
      <c r="J2" s="370" t="s">
        <v>4</v>
      </c>
      <c r="K2" s="370"/>
      <c r="L2" s="370"/>
      <c r="M2" s="370"/>
      <c r="N2" s="370"/>
      <c r="O2" s="370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222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299" t="s">
        <v>29</v>
      </c>
      <c r="H4" s="299" t="s">
        <v>168</v>
      </c>
      <c r="I4" s="119" t="s">
        <v>44</v>
      </c>
      <c r="J4" s="299" t="s">
        <v>29</v>
      </c>
      <c r="K4" s="48" t="s">
        <v>20</v>
      </c>
      <c r="L4" s="27" t="s">
        <v>156</v>
      </c>
      <c r="M4" s="30"/>
      <c r="N4" s="275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45999</v>
      </c>
      <c r="C5" s="364" t="s">
        <v>22</v>
      </c>
      <c r="D5" s="364" t="s">
        <v>22</v>
      </c>
      <c r="E5" s="299" t="s">
        <v>23</v>
      </c>
      <c r="F5" s="351" t="s">
        <v>19</v>
      </c>
      <c r="G5" s="48" t="s">
        <v>28</v>
      </c>
      <c r="H5" s="48" t="s">
        <v>28</v>
      </c>
      <c r="I5" s="193"/>
      <c r="J5" s="48" t="s">
        <v>20</v>
      </c>
      <c r="K5" s="33"/>
      <c r="L5" s="172" t="s">
        <v>156</v>
      </c>
      <c r="M5" s="34"/>
      <c r="N5" s="27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299" t="s">
        <v>48</v>
      </c>
      <c r="H6" s="299" t="s">
        <v>48</v>
      </c>
      <c r="I6" s="32"/>
      <c r="J6" s="48" t="s">
        <v>31</v>
      </c>
      <c r="K6" s="351" t="s">
        <v>20</v>
      </c>
      <c r="L6" s="172" t="s">
        <v>156</v>
      </c>
      <c r="M6" s="34"/>
      <c r="N6" s="27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364" t="s">
        <v>22</v>
      </c>
      <c r="G7" s="48" t="s">
        <v>31</v>
      </c>
      <c r="H7" s="351" t="s">
        <v>19</v>
      </c>
      <c r="I7" s="300"/>
      <c r="J7" s="299" t="s">
        <v>29</v>
      </c>
      <c r="K7" s="28"/>
      <c r="L7" s="172" t="s">
        <v>156</v>
      </c>
      <c r="M7" s="34"/>
      <c r="N7" s="27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299" t="s">
        <v>102</v>
      </c>
      <c r="H8" s="299" t="s">
        <v>102</v>
      </c>
      <c r="I8" s="27"/>
      <c r="J8" s="299" t="s">
        <v>44</v>
      </c>
      <c r="K8" s="36"/>
      <c r="L8" s="172" t="s">
        <v>156</v>
      </c>
      <c r="M8" s="34"/>
      <c r="N8" s="27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46003</v>
      </c>
      <c r="C9" s="58" t="s">
        <v>19</v>
      </c>
      <c r="D9" s="58" t="s">
        <v>20</v>
      </c>
      <c r="E9" s="299" t="s">
        <v>44</v>
      </c>
      <c r="F9" s="299" t="s">
        <v>29</v>
      </c>
      <c r="G9" s="299" t="s">
        <v>29</v>
      </c>
      <c r="H9" s="301" t="s">
        <v>48</v>
      </c>
      <c r="I9" s="39"/>
      <c r="J9" s="302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348" t="s">
        <v>46</v>
      </c>
      <c r="I10" s="119" t="s">
        <v>23</v>
      </c>
      <c r="J10" s="302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299" t="s">
        <v>29</v>
      </c>
      <c r="H11" s="33" t="s">
        <v>27</v>
      </c>
      <c r="I11" s="119" t="s">
        <v>102</v>
      </c>
      <c r="J11" s="299" t="s">
        <v>29</v>
      </c>
      <c r="K11" s="28"/>
      <c r="L11" s="180" t="s">
        <v>223</v>
      </c>
      <c r="M11" s="34"/>
      <c r="N11" s="34" t="s">
        <v>224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364" t="s">
        <v>22</v>
      </c>
      <c r="G12" s="299" t="s">
        <v>28</v>
      </c>
      <c r="H12" s="299" t="s">
        <v>28</v>
      </c>
      <c r="I12" s="32"/>
      <c r="J12" s="299" t="s">
        <v>44</v>
      </c>
      <c r="K12" s="33"/>
      <c r="L12" s="180" t="s">
        <v>223</v>
      </c>
      <c r="M12" s="30"/>
      <c r="N12" s="34" t="s">
        <v>224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46007</v>
      </c>
      <c r="C13" s="299" t="s">
        <v>23</v>
      </c>
      <c r="D13" s="27" t="s">
        <v>38</v>
      </c>
      <c r="E13" s="142" t="s">
        <v>21</v>
      </c>
      <c r="F13" s="48" t="s">
        <v>31</v>
      </c>
      <c r="G13" s="48" t="s">
        <v>31</v>
      </c>
      <c r="H13" s="48" t="s">
        <v>47</v>
      </c>
      <c r="I13" s="32"/>
      <c r="J13" s="27" t="s">
        <v>38</v>
      </c>
      <c r="K13" s="36"/>
      <c r="L13" s="180" t="s">
        <v>223</v>
      </c>
      <c r="M13" s="30"/>
      <c r="N13" s="34" t="s">
        <v>225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37</v>
      </c>
      <c r="F14" s="142" t="s">
        <v>21</v>
      </c>
      <c r="G14" s="299" t="s">
        <v>48</v>
      </c>
      <c r="H14" s="299" t="s">
        <v>48</v>
      </c>
      <c r="I14" s="32"/>
      <c r="J14" s="299" t="s">
        <v>29</v>
      </c>
      <c r="K14" s="28"/>
      <c r="L14" s="180" t="s">
        <v>223</v>
      </c>
      <c r="M14" s="30"/>
      <c r="N14" s="34" t="s">
        <v>225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46009</v>
      </c>
      <c r="C15" s="48" t="s">
        <v>36</v>
      </c>
      <c r="D15" s="48" t="s">
        <v>36</v>
      </c>
      <c r="E15" s="351" t="s">
        <v>19</v>
      </c>
      <c r="F15" s="299" t="s">
        <v>44</v>
      </c>
      <c r="G15" s="299" t="s">
        <v>44</v>
      </c>
      <c r="H15" s="299" t="s">
        <v>23</v>
      </c>
      <c r="I15" s="32"/>
      <c r="J15" s="364" t="s">
        <v>22</v>
      </c>
      <c r="K15" s="28"/>
      <c r="L15" s="180" t="s">
        <v>223</v>
      </c>
      <c r="M15" s="30"/>
      <c r="N15" s="34" t="s">
        <v>224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46010</v>
      </c>
      <c r="C16" s="58" t="s">
        <v>31</v>
      </c>
      <c r="D16" s="58" t="s">
        <v>31</v>
      </c>
      <c r="E16" s="299" t="s">
        <v>29</v>
      </c>
      <c r="F16" s="54" t="s">
        <v>37</v>
      </c>
      <c r="G16" s="139" t="s">
        <v>27</v>
      </c>
      <c r="H16" s="229" t="s">
        <v>21</v>
      </c>
      <c r="I16" s="39"/>
      <c r="J16" s="302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299" t="s">
        <v>48</v>
      </c>
      <c r="I17" s="119" t="s">
        <v>44</v>
      </c>
      <c r="J17" s="302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46012</v>
      </c>
      <c r="C18" s="299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2" t="s">
        <v>21</v>
      </c>
      <c r="I18" s="119" t="s">
        <v>23</v>
      </c>
      <c r="J18" s="299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46013</v>
      </c>
      <c r="C19" s="33" t="s">
        <v>34</v>
      </c>
      <c r="D19" s="33" t="s">
        <v>34</v>
      </c>
      <c r="E19" s="351" t="s">
        <v>19</v>
      </c>
      <c r="F19" s="299" t="s">
        <v>102</v>
      </c>
      <c r="G19" s="33" t="s">
        <v>42</v>
      </c>
      <c r="H19" s="33" t="s">
        <v>42</v>
      </c>
      <c r="I19" s="27"/>
      <c r="J19" s="299" t="s">
        <v>48</v>
      </c>
      <c r="K19" s="33"/>
      <c r="L19" s="30" t="s">
        <v>52</v>
      </c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299" t="s">
        <v>23</v>
      </c>
      <c r="G20" s="299" t="s">
        <v>23</v>
      </c>
      <c r="H20" s="142" t="s">
        <v>21</v>
      </c>
      <c r="I20" s="303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46015</v>
      </c>
      <c r="C21" s="33" t="s">
        <v>27</v>
      </c>
      <c r="D21" s="33" t="s">
        <v>27</v>
      </c>
      <c r="E21" s="299" t="s">
        <v>32</v>
      </c>
      <c r="F21" s="299" t="s">
        <v>102</v>
      </c>
      <c r="G21" s="299" t="s">
        <v>102</v>
      </c>
      <c r="H21" s="48" t="s">
        <v>28</v>
      </c>
      <c r="I21" s="193"/>
      <c r="J21" s="364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37" t="s">
        <v>35</v>
      </c>
      <c r="B22" s="38">
        <v>46016</v>
      </c>
      <c r="C22" s="40" t="s">
        <v>38</v>
      </c>
      <c r="D22" s="40" t="s">
        <v>38</v>
      </c>
      <c r="E22" s="299" t="s">
        <v>32</v>
      </c>
      <c r="F22" s="54" t="s">
        <v>42</v>
      </c>
      <c r="G22" s="54" t="s">
        <v>42</v>
      </c>
      <c r="H22" s="348" t="s">
        <v>197</v>
      </c>
      <c r="I22" s="154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46017</v>
      </c>
      <c r="C23" s="54" t="s">
        <v>34</v>
      </c>
      <c r="D23" s="54" t="s">
        <v>34</v>
      </c>
      <c r="E23" s="363" t="s">
        <v>22</v>
      </c>
      <c r="F23" s="299" t="s">
        <v>48</v>
      </c>
      <c r="G23" s="299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1" t="s">
        <v>76</v>
      </c>
      <c r="Q23" s="109" t="s">
        <v>76</v>
      </c>
      <c r="R23" s="31"/>
      <c r="S23" s="3"/>
      <c r="T23" s="3"/>
    </row>
    <row r="24" spans="1:24" ht="12.75" customHeight="1">
      <c r="A24" s="38" t="s">
        <v>43</v>
      </c>
      <c r="B24" s="38">
        <v>46018</v>
      </c>
      <c r="C24" s="58" t="s">
        <v>36</v>
      </c>
      <c r="D24" s="58" t="s">
        <v>36</v>
      </c>
      <c r="E24" s="299" t="s">
        <v>32</v>
      </c>
      <c r="F24" s="299" t="s">
        <v>29</v>
      </c>
      <c r="G24" s="299" t="s">
        <v>29</v>
      </c>
      <c r="H24" s="348" t="s">
        <v>197</v>
      </c>
      <c r="I24" s="291" t="s">
        <v>102</v>
      </c>
      <c r="J24" s="42"/>
      <c r="K24" s="43"/>
      <c r="L24" s="55"/>
      <c r="M24" s="55"/>
      <c r="N24" s="55"/>
      <c r="O24" s="55"/>
      <c r="P24" s="111" t="s">
        <v>77</v>
      </c>
      <c r="Q24" s="109" t="s">
        <v>77</v>
      </c>
      <c r="R24" s="56"/>
      <c r="S24" s="304"/>
      <c r="T24" s="3"/>
    </row>
    <row r="25" spans="1:24" ht="12.75" customHeight="1">
      <c r="A25" s="21" t="s">
        <v>18</v>
      </c>
      <c r="B25" s="22">
        <v>46019</v>
      </c>
      <c r="C25" s="48" t="s">
        <v>20</v>
      </c>
      <c r="D25" s="48" t="s">
        <v>20</v>
      </c>
      <c r="E25" s="299" t="s">
        <v>44</v>
      </c>
      <c r="F25" s="299" t="s">
        <v>32</v>
      </c>
      <c r="G25" s="299" t="s">
        <v>32</v>
      </c>
      <c r="H25" s="299" t="s">
        <v>23</v>
      </c>
      <c r="I25" s="291" t="s">
        <v>168</v>
      </c>
      <c r="J25" s="28"/>
      <c r="K25" s="28"/>
      <c r="L25" s="305" t="s">
        <v>226</v>
      </c>
      <c r="M25" s="30"/>
      <c r="N25" s="30"/>
      <c r="O25" s="30"/>
      <c r="P25" s="111" t="s">
        <v>79</v>
      </c>
      <c r="Q25" s="109" t="s">
        <v>79</v>
      </c>
      <c r="R25" s="56"/>
      <c r="S25" s="3"/>
      <c r="T25" s="3"/>
    </row>
    <row r="26" spans="1:24" ht="13.5" customHeight="1">
      <c r="A26" s="21" t="s">
        <v>26</v>
      </c>
      <c r="B26" s="22">
        <v>46020</v>
      </c>
      <c r="C26" s="255" t="s">
        <v>34</v>
      </c>
      <c r="D26" s="255" t="s">
        <v>34</v>
      </c>
      <c r="E26" s="299" t="s">
        <v>23</v>
      </c>
      <c r="F26" s="299" t="s">
        <v>44</v>
      </c>
      <c r="G26" s="48" t="s">
        <v>28</v>
      </c>
      <c r="H26" s="48" t="s">
        <v>28</v>
      </c>
      <c r="I26" s="32"/>
      <c r="J26" s="364" t="s">
        <v>22</v>
      </c>
      <c r="K26" s="36"/>
      <c r="L26" s="305" t="s">
        <v>226</v>
      </c>
      <c r="M26" s="62"/>
      <c r="N26" s="30"/>
      <c r="O26" s="30"/>
      <c r="P26" s="111" t="s">
        <v>77</v>
      </c>
      <c r="Q26" s="109" t="s">
        <v>77</v>
      </c>
      <c r="R26" s="56"/>
      <c r="S26" s="3"/>
      <c r="T26" s="3"/>
    </row>
    <row r="27" spans="1:24" ht="12.75" customHeight="1">
      <c r="A27" s="21" t="s">
        <v>30</v>
      </c>
      <c r="B27" s="22">
        <v>46021</v>
      </c>
      <c r="C27" s="48" t="s">
        <v>36</v>
      </c>
      <c r="D27" s="48" t="s">
        <v>36</v>
      </c>
      <c r="E27" s="299" t="s">
        <v>32</v>
      </c>
      <c r="F27" s="299" t="s">
        <v>168</v>
      </c>
      <c r="G27" s="299" t="s">
        <v>168</v>
      </c>
      <c r="H27" s="364" t="s">
        <v>22</v>
      </c>
      <c r="I27" s="27"/>
      <c r="J27" s="299" t="s">
        <v>29</v>
      </c>
      <c r="K27" s="64"/>
      <c r="L27" s="305" t="s">
        <v>226</v>
      </c>
      <c r="M27" s="30"/>
      <c r="N27" s="30"/>
      <c r="O27" s="30"/>
      <c r="P27" s="111" t="s">
        <v>80</v>
      </c>
      <c r="Q27" s="109" t="s">
        <v>80</v>
      </c>
      <c r="R27" s="56"/>
      <c r="S27" s="3"/>
      <c r="T27" s="3"/>
    </row>
    <row r="28" spans="1:24" ht="12.75" customHeight="1">
      <c r="A28" s="21" t="s">
        <v>33</v>
      </c>
      <c r="B28" s="22">
        <v>46022</v>
      </c>
      <c r="C28" s="48" t="s">
        <v>20</v>
      </c>
      <c r="D28" s="48" t="s">
        <v>20</v>
      </c>
      <c r="E28" s="299" t="s">
        <v>23</v>
      </c>
      <c r="F28" s="299" t="s">
        <v>102</v>
      </c>
      <c r="G28" s="299" t="s">
        <v>102</v>
      </c>
      <c r="H28" s="299" t="s">
        <v>32</v>
      </c>
      <c r="I28" s="48"/>
      <c r="J28" s="299" t="s">
        <v>29</v>
      </c>
      <c r="K28" s="48"/>
      <c r="L28" s="305" t="s">
        <v>226</v>
      </c>
      <c r="M28" s="276"/>
      <c r="N28" s="30"/>
      <c r="O28" s="30"/>
      <c r="P28" s="111" t="s">
        <v>79</v>
      </c>
      <c r="Q28" s="109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46023</v>
      </c>
      <c r="C29" s="58" t="s">
        <v>36</v>
      </c>
      <c r="D29" s="58" t="s">
        <v>36</v>
      </c>
      <c r="E29" s="299" t="s">
        <v>168</v>
      </c>
      <c r="F29" s="363" t="s">
        <v>22</v>
      </c>
      <c r="G29" s="363" t="s">
        <v>22</v>
      </c>
      <c r="H29" s="299" t="s">
        <v>44</v>
      </c>
      <c r="I29" s="39"/>
      <c r="J29" s="39"/>
      <c r="K29" s="306"/>
      <c r="L29" s="307"/>
      <c r="M29" s="55"/>
      <c r="N29" s="55"/>
      <c r="O29" s="55"/>
      <c r="P29" s="111" t="s">
        <v>81</v>
      </c>
      <c r="Q29" s="109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46024</v>
      </c>
      <c r="C30" s="58" t="s">
        <v>20</v>
      </c>
      <c r="D30" s="58" t="s">
        <v>20</v>
      </c>
      <c r="E30" s="299" t="s">
        <v>44</v>
      </c>
      <c r="F30" s="299" t="s">
        <v>23</v>
      </c>
      <c r="G30" s="299" t="s">
        <v>23</v>
      </c>
      <c r="H30" s="348" t="s">
        <v>197</v>
      </c>
      <c r="I30" s="39"/>
      <c r="J30" s="42"/>
      <c r="K30" s="43"/>
      <c r="L30" s="60"/>
      <c r="M30" s="44"/>
      <c r="N30" s="55"/>
      <c r="O30" s="55"/>
      <c r="P30" s="111" t="s">
        <v>87</v>
      </c>
      <c r="Q30" s="109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46025</v>
      </c>
      <c r="C31" s="58" t="s">
        <v>34</v>
      </c>
      <c r="D31" s="58" t="s">
        <v>34</v>
      </c>
      <c r="E31" s="229" t="s">
        <v>21</v>
      </c>
      <c r="F31" s="299" t="s">
        <v>32</v>
      </c>
      <c r="G31" s="299" t="s">
        <v>32</v>
      </c>
      <c r="H31" s="308" t="s">
        <v>36</v>
      </c>
      <c r="I31" s="291" t="s">
        <v>168</v>
      </c>
      <c r="J31" s="42"/>
      <c r="K31" s="43"/>
      <c r="L31" s="60"/>
      <c r="M31" s="44"/>
      <c r="N31" s="55"/>
      <c r="O31" s="55"/>
      <c r="P31" s="113" t="s">
        <v>79</v>
      </c>
      <c r="Q31" s="112" t="s">
        <v>79</v>
      </c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70" t="s">
        <v>53</v>
      </c>
      <c r="B33" s="370"/>
      <c r="C33" s="370"/>
      <c r="D33" s="370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71" t="s">
        <v>57</v>
      </c>
      <c r="M35" s="371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6" t="s">
        <v>64</v>
      </c>
      <c r="J36" s="366" t="s">
        <v>65</v>
      </c>
      <c r="K36" s="366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354" t="s">
        <v>38</v>
      </c>
      <c r="D37" s="355">
        <v>1</v>
      </c>
      <c r="E37" s="84">
        <f>COUNTIF($C$4:$C$31,"BOULAT")+COUNTIF($H$4:$H$31,"BOULAT")+COUNTIF($F$4:$F$31,"BOULAT")+COUNTIF($J$4:$J$31,"BOULAT")</f>
        <v>5</v>
      </c>
      <c r="F37" s="84">
        <f>COUNTIF($D$4:$D$31,"BOULAT")+COUNTIF($G$4:$G$31,"BOULAT")</f>
        <v>5</v>
      </c>
      <c r="G37" s="84">
        <f>COUNTIF($E$4:$E$31,"BOULAT")</f>
        <v>1</v>
      </c>
      <c r="H37" s="82"/>
      <c r="I37" s="86">
        <v>4</v>
      </c>
      <c r="J37" s="85">
        <f t="shared" ref="J37:J56" si="0">D37*((9*$D$35)-($F$35*9/5))-(D37*(I37*1.8))</f>
        <v>25.2</v>
      </c>
      <c r="K37" s="86">
        <f t="shared" ref="K37:K56" si="1">D37*((39*$D$35)-($F$35*39/5))-(I37*7.8)</f>
        <v>109.2</v>
      </c>
      <c r="L37" s="86">
        <f>E37*10+F37*14+G37*12</f>
        <v>132</v>
      </c>
      <c r="M37" s="238">
        <f t="shared" ref="M37:M56" si="2">L37-K37</f>
        <v>22.799999999999997</v>
      </c>
    </row>
    <row r="38" spans="1:21" ht="12" customHeight="1">
      <c r="A38" s="73"/>
      <c r="B38" s="73"/>
      <c r="C38" s="354" t="s">
        <v>36</v>
      </c>
      <c r="D38" s="355">
        <v>1</v>
      </c>
      <c r="E38" s="84">
        <f>COUNTIF($C$4:$C$31,"BRUGIROUX")+COUNTIF($H$4:$H$31,"BRUGIROUX")+COUNTIF($F$4:$F$31,"BRUGIROUX")+COUNTIF($J$4:$J$31,"BRUGIROUX")</f>
        <v>8</v>
      </c>
      <c r="F38" s="84">
        <f>COUNTIF($D$4:$D$31,"BRUGIROUX")+COUNTIF($G$4:$G$31,"BRUGIROUX")</f>
        <v>7</v>
      </c>
      <c r="G38" s="84">
        <f>COUNTIF($E$4:$E$31,"BRUGIROUX")</f>
        <v>1</v>
      </c>
      <c r="H38" s="84">
        <f>COUNTIF($K$4:$K$31,"BRUGIROUX")</f>
        <v>0</v>
      </c>
      <c r="I38" s="86">
        <v>1</v>
      </c>
      <c r="J38" s="85">
        <f t="shared" si="0"/>
        <v>30.599999999999998</v>
      </c>
      <c r="K38" s="86">
        <f t="shared" si="1"/>
        <v>132.6</v>
      </c>
      <c r="L38" s="86">
        <f>E38*10+F38*14+G38*12+H38*10</f>
        <v>190</v>
      </c>
      <c r="M38" s="238">
        <f t="shared" si="2"/>
        <v>57.400000000000006</v>
      </c>
    </row>
    <row r="39" spans="1:21" ht="12" customHeight="1">
      <c r="A39" s="73"/>
      <c r="B39" s="73"/>
      <c r="C39" s="354" t="s">
        <v>21</v>
      </c>
      <c r="D39" s="356">
        <v>0.5</v>
      </c>
      <c r="E39" s="84">
        <f>COUNTIF($C$4:$C$31,"CAUVY")+COUNTIF($H$4:$H$31,"CAUVY")+COUNTIF($F$4:$F$31,"CAUVY")+COUNTIF($J$4:$J$31,"CAUVY")</f>
        <v>6</v>
      </c>
      <c r="F39" s="84">
        <f>COUNTIF($D$4:$D$31,"CAUVY")+COUNTIF($G$4:$G$31,"CAUVY")</f>
        <v>0</v>
      </c>
      <c r="G39" s="84">
        <f>COUNTIF($E$4:$E$31,"CAUVY")</f>
        <v>3</v>
      </c>
      <c r="H39" s="84"/>
      <c r="I39" s="86">
        <v>1</v>
      </c>
      <c r="J39" s="85">
        <f t="shared" si="0"/>
        <v>15.299999999999999</v>
      </c>
      <c r="K39" s="86">
        <f t="shared" si="1"/>
        <v>62.400000000000006</v>
      </c>
      <c r="L39" s="86">
        <f>E39*10+F39*14+G39*12</f>
        <v>96</v>
      </c>
      <c r="M39" s="238">
        <f t="shared" si="2"/>
        <v>33.599999999999994</v>
      </c>
    </row>
    <row r="40" spans="1:21" ht="12" customHeight="1">
      <c r="A40" s="73"/>
      <c r="B40" s="73"/>
      <c r="C40" s="354" t="s">
        <v>31</v>
      </c>
      <c r="D40" s="356">
        <v>0.8</v>
      </c>
      <c r="E40" s="84">
        <f>COUNTIF($C$4:$C$31,"FONTAINE")+COUNTIF($J$4:$J$31,"FONTAINE")+COUNTIF($F$4:$F$31,"FONTAINE")</f>
        <v>5</v>
      </c>
      <c r="F40" s="84">
        <f>COUNTIF($D$4:$D$31,"FONTAINE")+COUNTIF($G$4:$G$31,"FONTAINE")</f>
        <v>4</v>
      </c>
      <c r="G40" s="84">
        <f>COUNTIF($E$4:$E$31,"FONTAINE")</f>
        <v>1</v>
      </c>
      <c r="H40" s="82"/>
      <c r="I40" s="86">
        <v>3</v>
      </c>
      <c r="J40" s="85">
        <f t="shared" si="0"/>
        <v>21.6</v>
      </c>
      <c r="K40" s="86">
        <f t="shared" si="1"/>
        <v>88.920000000000016</v>
      </c>
      <c r="L40" s="86">
        <f>E40*10+F40*14+G40*12</f>
        <v>118</v>
      </c>
      <c r="M40" s="238">
        <f t="shared" si="2"/>
        <v>29.079999999999984</v>
      </c>
    </row>
    <row r="41" spans="1:21" ht="12" customHeight="1">
      <c r="A41" s="3"/>
      <c r="B41" s="3"/>
      <c r="C41" s="321" t="s">
        <v>28</v>
      </c>
      <c r="D41" s="357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3</v>
      </c>
      <c r="G41" s="84">
        <f>COUNTIF($E$4:$E$31,"KANTCHE")</f>
        <v>1</v>
      </c>
      <c r="H41" s="86"/>
      <c r="I41" s="86"/>
      <c r="J41" s="85">
        <f t="shared" si="0"/>
        <v>19.439999999999998</v>
      </c>
      <c r="K41" s="86">
        <f t="shared" si="1"/>
        <v>84.24</v>
      </c>
      <c r="L41" s="86">
        <f>E41*10+F41*14+G41*12</f>
        <v>104</v>
      </c>
      <c r="M41" s="238">
        <f t="shared" si="2"/>
        <v>19.760000000000005</v>
      </c>
      <c r="N41" s="3"/>
    </row>
    <row r="42" spans="1:21" ht="12" customHeight="1">
      <c r="A42" s="3"/>
      <c r="B42" s="3"/>
      <c r="C42" s="321" t="s">
        <v>42</v>
      </c>
      <c r="D42" s="357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>
        <v>19</v>
      </c>
      <c r="J42" s="85">
        <f t="shared" si="0"/>
        <v>-1.8000000000000043</v>
      </c>
      <c r="K42" s="86">
        <f t="shared" si="1"/>
        <v>-7.7999999999999829</v>
      </c>
      <c r="L42" s="86">
        <f>E42*10+F42*14+G42*12</f>
        <v>120</v>
      </c>
      <c r="M42" s="238">
        <f t="shared" si="2"/>
        <v>127.79999999999998</v>
      </c>
      <c r="N42" s="3"/>
    </row>
    <row r="43" spans="1:21" ht="12" customHeight="1">
      <c r="A43" s="3"/>
      <c r="B43" s="3"/>
      <c r="C43" s="321" t="s">
        <v>47</v>
      </c>
      <c r="D43" s="357">
        <v>0.5</v>
      </c>
      <c r="E43" s="84">
        <f>COUNTIF($C$4:$C$31,"TKATCHOUK")+COUNTIF($H$4:$H$31,"TKATCHOUK")+COUNTIF($F$4:$F$31,"TKATCHOUK")+COUNTIF($J$4:$J$31,"TKATCHOUK")</f>
        <v>1</v>
      </c>
      <c r="F43" s="84">
        <f>COUNTIF($D$4:$D$31,"TKATCHOUK")+COUNTIF($G$4:$G$31,"TKATCHOUK")</f>
        <v>0</v>
      </c>
      <c r="G43" s="84">
        <f>COUNTIF($E$4:$E$31,"TKATCHOUK")</f>
        <v>5</v>
      </c>
      <c r="H43" s="86"/>
      <c r="I43" s="86">
        <v>5</v>
      </c>
      <c r="J43" s="85">
        <f t="shared" si="0"/>
        <v>11.7</v>
      </c>
      <c r="K43" s="86">
        <f t="shared" si="1"/>
        <v>31.200000000000003</v>
      </c>
      <c r="L43" s="86">
        <f>E43*10+F43*14+G43*12</f>
        <v>70</v>
      </c>
      <c r="M43" s="238">
        <f t="shared" si="2"/>
        <v>38.799999999999997</v>
      </c>
      <c r="N43" s="3"/>
    </row>
    <row r="44" spans="1:21" ht="12.75" customHeight="1">
      <c r="A44" s="3"/>
      <c r="B44" s="3"/>
      <c r="C44" s="321" t="s">
        <v>20</v>
      </c>
      <c r="D44" s="357">
        <v>1</v>
      </c>
      <c r="E44" s="84">
        <f>COUNTIF($C$4:$C$31,"TORREGROSSA")+COUNTIF($H$4:$H$31,"TORREGROSSA")+COUNTIF($F$4:$F$31,"TORREGROSSA")+COUNTIF($J$4:$J$31,"TORREGROSSA")</f>
        <v>5</v>
      </c>
      <c r="F44" s="84">
        <f>COUNTIF($D$4:$D$31,"TORREGROSSA")+COUNTIF($G$4:$G$31,"TORREGROSSA")</f>
        <v>4</v>
      </c>
      <c r="G44" s="84">
        <f>COUNTIF($E$4:$E$31,"TORREGROSSA")</f>
        <v>0</v>
      </c>
      <c r="H44" s="84">
        <f>COUNTIF($K$4:$K$31,"TORREGROSSA")</f>
        <v>2</v>
      </c>
      <c r="I44" s="86">
        <v>5</v>
      </c>
      <c r="J44" s="85">
        <f t="shared" si="0"/>
        <v>23.4</v>
      </c>
      <c r="K44" s="86">
        <f t="shared" si="1"/>
        <v>101.4</v>
      </c>
      <c r="L44" s="86">
        <f>E44*10+F44*14+G44*12+H44*10</f>
        <v>126</v>
      </c>
      <c r="M44" s="238">
        <f t="shared" si="2"/>
        <v>24.599999999999994</v>
      </c>
      <c r="N44" s="3"/>
    </row>
    <row r="45" spans="1:21" ht="12.75" customHeight="1">
      <c r="A45" s="3"/>
      <c r="B45" s="3"/>
      <c r="C45" s="321" t="s">
        <v>19</v>
      </c>
      <c r="D45" s="357">
        <v>0.4</v>
      </c>
      <c r="E45" s="84">
        <f>COUNTIF($C$4:$C$31,"BALLOT")+COUNTIF($F$4:$F$31,"BALLOT")+COUNTIF($H$4:$H$31,"BALLOT")+COUNTIF($J$4:$J$31,"BALLOT")</f>
        <v>3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>
        <v>5</v>
      </c>
      <c r="J45" s="85">
        <f t="shared" si="0"/>
        <v>9.3600000000000012</v>
      </c>
      <c r="K45" s="86">
        <f t="shared" si="1"/>
        <v>17.160000000000004</v>
      </c>
      <c r="L45" s="86">
        <f t="shared" ref="L45:L56" si="3">E45*10+F45*14+G45*12</f>
        <v>54</v>
      </c>
      <c r="M45" s="240">
        <f t="shared" si="2"/>
        <v>36.839999999999996</v>
      </c>
      <c r="N45" s="3"/>
    </row>
    <row r="46" spans="1:21" ht="12" customHeight="1">
      <c r="A46" s="3"/>
      <c r="B46" s="3"/>
      <c r="C46" s="321" t="s">
        <v>37</v>
      </c>
      <c r="D46" s="357">
        <v>0.4</v>
      </c>
      <c r="E46" s="84">
        <f>COUNTIF($C$4:$C$31,"MOREL")+COUNTIF($H$4:$H$31,"MOREL")+COUNTIF($F$4:$F$31,"MOREL")+COUNTIF($J$4:$J$31,"MOREL")</f>
        <v>3</v>
      </c>
      <c r="F46" s="84">
        <f>COUNTIF($D$4:$D$31,"MOREL")+COUNTIF($G$4:$G$31,"MOREL")</f>
        <v>0</v>
      </c>
      <c r="G46" s="84">
        <f>COUNTIF($E$4:$E$31,"MOREL")</f>
        <v>1</v>
      </c>
      <c r="H46" s="84"/>
      <c r="I46" s="86">
        <v>3</v>
      </c>
      <c r="J46" s="85">
        <f t="shared" si="0"/>
        <v>10.8</v>
      </c>
      <c r="K46" s="86">
        <f t="shared" si="1"/>
        <v>32.760000000000005</v>
      </c>
      <c r="L46" s="86">
        <f t="shared" si="3"/>
        <v>42</v>
      </c>
      <c r="M46" s="240">
        <f t="shared" si="2"/>
        <v>9.2399999999999949</v>
      </c>
      <c r="N46" s="3"/>
    </row>
    <row r="47" spans="1:21" ht="12" customHeight="1">
      <c r="A47" s="3"/>
      <c r="B47" s="3"/>
      <c r="C47" s="321" t="s">
        <v>27</v>
      </c>
      <c r="D47" s="357">
        <v>0.8</v>
      </c>
      <c r="E47" s="84">
        <f>COUNTIF($C$4:$C$31,"RACHIDI")+COUNTIF($H$4:$H$31,"RACHIDI")+COUNTIF($F$4:$F$31,"RACHIDI")+COUNTIF($J$4:$J$31,"RACHIDI")</f>
        <v>4</v>
      </c>
      <c r="F47" s="84">
        <f>COUNTIF($D$4:$D$31,"RACHIDI")+COUNTIF($G$4:$G$31,"RACHIDI")</f>
        <v>6</v>
      </c>
      <c r="G47" s="84">
        <f>COUNTIF($E$4:$E$31,"RACHIDI")</f>
        <v>0</v>
      </c>
      <c r="H47" s="84"/>
      <c r="I47" s="86">
        <v>3.2</v>
      </c>
      <c r="J47" s="85">
        <f t="shared" si="0"/>
        <v>21.312000000000001</v>
      </c>
      <c r="K47" s="86">
        <f t="shared" si="1"/>
        <v>87.360000000000014</v>
      </c>
      <c r="L47" s="86">
        <f t="shared" si="3"/>
        <v>124</v>
      </c>
      <c r="M47" s="238">
        <f t="shared" si="2"/>
        <v>36.639999999999986</v>
      </c>
      <c r="N47" s="3"/>
    </row>
    <row r="48" spans="1:21" ht="12" customHeight="1">
      <c r="A48" s="3"/>
      <c r="B48" s="3"/>
      <c r="C48" s="321" t="s">
        <v>34</v>
      </c>
      <c r="D48" s="357">
        <v>1</v>
      </c>
      <c r="E48" s="84">
        <f>COUNTIF($C$4:$C$31,"ZEBICHE")+COUNTIF($F$4:$F$31,"ZEBICHE")+COUNTIF($H$4:$H$31,"ZEBICHE")+COUNTIF($J$4:$J$31,"ZEBICHE")</f>
        <v>4</v>
      </c>
      <c r="F48" s="84">
        <f>COUNTIF($D$4:$D$31,"ZEBICHE")+COUNTIF($G$4:$G$31,"ZEBICHE")</f>
        <v>4</v>
      </c>
      <c r="G48" s="84">
        <f>COUNTIF($E$4:$E$31,"ZEBICHE")</f>
        <v>0</v>
      </c>
      <c r="H48" s="84"/>
      <c r="I48" s="86">
        <v>10</v>
      </c>
      <c r="J48" s="85">
        <f t="shared" si="0"/>
        <v>14.399999999999999</v>
      </c>
      <c r="K48" s="86">
        <f t="shared" si="1"/>
        <v>62.400000000000006</v>
      </c>
      <c r="L48" s="86">
        <f t="shared" si="3"/>
        <v>96</v>
      </c>
      <c r="M48" s="238">
        <f t="shared" si="2"/>
        <v>33.599999999999994</v>
      </c>
    </row>
    <row r="49" spans="1:15" ht="12" customHeight="1">
      <c r="A49" s="3"/>
      <c r="B49" s="3"/>
      <c r="C49" s="321" t="s">
        <v>22</v>
      </c>
      <c r="D49" s="357">
        <v>1</v>
      </c>
      <c r="E49" s="84">
        <f>COUNTIF($C$4:$C$31,"HACHIMI")+COUNTIF($F$4:$F$31,"HACHIMI")+COUNTIF($H$4:$H$31,"HACHIMI")+COUNTIF($J$4:$J$31,"HACHIMI")+COUNTIF($I$4:$I$31,"HACHIMI")+H59</f>
        <v>8</v>
      </c>
      <c r="F49" s="84">
        <f>COUNTIF($D$4:$D$31,"HACHIMI")+COUNTIF($I$4:$I$31,"HACHIMI")+COUNTIF($G$4:$G$31,"HACHIMI")</f>
        <v>2</v>
      </c>
      <c r="G49" s="84">
        <f>COUNTIF($E$4:$E$31,"HACHIMI")</f>
        <v>1</v>
      </c>
      <c r="H49" s="84"/>
      <c r="I49" s="86"/>
      <c r="J49" s="85">
        <f t="shared" si="0"/>
        <v>32.4</v>
      </c>
      <c r="K49" s="86">
        <f t="shared" si="1"/>
        <v>140.4</v>
      </c>
      <c r="L49" s="86">
        <f t="shared" si="3"/>
        <v>120</v>
      </c>
      <c r="M49" s="240">
        <f t="shared" si="2"/>
        <v>-20.400000000000006</v>
      </c>
    </row>
    <row r="50" spans="1:15" ht="12" customHeight="1">
      <c r="A50" s="3"/>
      <c r="B50" s="3"/>
      <c r="C50" s="321" t="s">
        <v>29</v>
      </c>
      <c r="D50" s="357">
        <v>1</v>
      </c>
      <c r="E50" s="84">
        <f>COUNTIF($C$4:$C$31,"BIENDOUX")+COUNTIF($F$4:$F$31,"BIENDOUX")+COUNTIF($H$4:$H$31,"BIENDOUX")+COUNTIF($J$4:$J$31,"BIENDOUX")+COUNTIF($I$4:$I$31,"BIENDOUX")+H60</f>
        <v>8</v>
      </c>
      <c r="F50" s="84">
        <f>COUNTIF($D$4:$D$31,"BIENDOUX")+COUNTIF($I$4:$I$31,"BIENDOUX")+COUNTIF($G$4:$G$31,"BIENDOUX")</f>
        <v>4</v>
      </c>
      <c r="G50" s="84">
        <f>COUNTIF($E$4:$E$31,"BIENDOUX")</f>
        <v>1</v>
      </c>
      <c r="H50" s="84"/>
      <c r="I50" s="86"/>
      <c r="J50" s="85">
        <f t="shared" si="0"/>
        <v>32.4</v>
      </c>
      <c r="K50" s="86">
        <f t="shared" si="1"/>
        <v>140.4</v>
      </c>
      <c r="L50" s="86">
        <f t="shared" si="3"/>
        <v>148</v>
      </c>
      <c r="M50" s="240">
        <f t="shared" si="2"/>
        <v>7.5999999999999943</v>
      </c>
    </row>
    <row r="51" spans="1:15" ht="12" customHeight="1">
      <c r="A51" s="3"/>
      <c r="B51" s="3"/>
      <c r="C51" s="321" t="s">
        <v>48</v>
      </c>
      <c r="D51" s="357">
        <v>1</v>
      </c>
      <c r="E51" s="84">
        <f>COUNTIF($C$4:$C$31,"AFZAL")+COUNTIF($F$4:$F$31,"AFZAL")+COUNTIF($H$4:$H$31,"AFZAL")+COUNTIF($J$4:$J$31,"AFZAL")+COUNTIF($I$4:$I$31,"AFZAL")+H61</f>
        <v>7</v>
      </c>
      <c r="F51" s="84">
        <f>COUNTIF($D$4:$D$31,"AFZAL")+COUNTIF($I$4:$I$31,"AFZAL")+COUNTIF($G$4:$G$31,"AFZAL")</f>
        <v>3</v>
      </c>
      <c r="G51" s="84">
        <f>COUNTIF($E$4:$E$31,"AFZAL")</f>
        <v>0</v>
      </c>
      <c r="H51" s="84"/>
      <c r="I51" s="86">
        <v>4</v>
      </c>
      <c r="J51" s="85">
        <f t="shared" si="0"/>
        <v>25.2</v>
      </c>
      <c r="K51" s="86">
        <f t="shared" si="1"/>
        <v>109.2</v>
      </c>
      <c r="L51" s="86">
        <f t="shared" si="3"/>
        <v>112</v>
      </c>
      <c r="M51" s="240">
        <f t="shared" si="2"/>
        <v>2.7999999999999972</v>
      </c>
    </row>
    <row r="52" spans="1:15" ht="12" customHeight="1">
      <c r="A52" s="3"/>
      <c r="B52" s="3"/>
      <c r="C52" s="321" t="s">
        <v>44</v>
      </c>
      <c r="D52" s="357">
        <v>1</v>
      </c>
      <c r="E52" s="84">
        <f>COUNTIF($C$4:$C$31,"IBRAHIM")+COUNTIF($F$4:$F$31,"IBRAHIM")+COUNTIF($H$4:$H$31,"IBRAHIM")+COUNTIF($I$4:$I$31,"IBRAHIM")+H62+COUNTIF($J$4:$J$31,"IBRAHIM")</f>
        <v>7</v>
      </c>
      <c r="F52" s="84">
        <f>COUNTIF($D$4:$D$31,"IBRAHIM")+COUNTIF($I$4:$I$31,"IBRAHIM")+COUNTIF($G$4:$G$31,"IBRAHIM")</f>
        <v>3</v>
      </c>
      <c r="G52" s="84">
        <f>COUNTIF($E$4:$E$31,"IBRAHIM")</f>
        <v>3</v>
      </c>
      <c r="H52" s="84"/>
      <c r="I52" s="86"/>
      <c r="J52" s="85">
        <f t="shared" si="0"/>
        <v>32.4</v>
      </c>
      <c r="K52" s="86">
        <f t="shared" si="1"/>
        <v>140.4</v>
      </c>
      <c r="L52" s="86">
        <f t="shared" si="3"/>
        <v>148</v>
      </c>
      <c r="M52" s="240">
        <f t="shared" si="2"/>
        <v>7.5999999999999943</v>
      </c>
    </row>
    <row r="53" spans="1:15" ht="12" customHeight="1">
      <c r="A53" s="3"/>
      <c r="B53" s="3"/>
      <c r="C53" s="321" t="s">
        <v>23</v>
      </c>
      <c r="D53" s="357">
        <v>1</v>
      </c>
      <c r="E53" s="84">
        <f>COUNTIF($C$4:$C$31,"IMAD")+COUNTIF($F$4:$F$31,"IMAD")+COUNTIF($H$4:$H$31,"IMAD")+COUNTIF($I$4:$I$31,"IMAD")+H63+COUNTIF($J$4:$J$31,"IMAD")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>
        <v>1</v>
      </c>
      <c r="J53" s="85">
        <f t="shared" si="0"/>
        <v>30.599999999999998</v>
      </c>
      <c r="K53" s="86">
        <f t="shared" si="1"/>
        <v>132.6</v>
      </c>
      <c r="L53" s="86">
        <f t="shared" si="3"/>
        <v>162</v>
      </c>
      <c r="M53" s="238">
        <f t="shared" si="2"/>
        <v>29.400000000000006</v>
      </c>
    </row>
    <row r="54" spans="1:15" ht="12" customHeight="1">
      <c r="A54" s="3"/>
      <c r="B54" s="3"/>
      <c r="C54" s="321" t="s">
        <v>32</v>
      </c>
      <c r="D54" s="357">
        <v>1</v>
      </c>
      <c r="E54" s="84">
        <f>COUNTIF($C$4:$C$31,"RADO")+COUNTIF($F$4:$F$31,"RADO")+COUNTIF($H$4:$H$31,"RADO")+COUNTIF($J$4:$J$31,"RADO")+COUNTIF($I$4:$I$31,"RADO")+H64</f>
        <v>13</v>
      </c>
      <c r="F54" s="84">
        <f>COUNTIF($D$4:$D$31,"RADO")+COUNTIF($I$4:$I$31,"RADO")+COUNTIF($G$4:$G$31,"RADO")</f>
        <v>2</v>
      </c>
      <c r="G54" s="84">
        <f>COUNTIF($E$4:$E$31,"RADO")</f>
        <v>4</v>
      </c>
      <c r="H54" s="84"/>
      <c r="I54" s="86">
        <v>3</v>
      </c>
      <c r="J54" s="85">
        <f t="shared" si="0"/>
        <v>27</v>
      </c>
      <c r="K54" s="86">
        <f t="shared" si="1"/>
        <v>117</v>
      </c>
      <c r="L54" s="86">
        <f t="shared" si="3"/>
        <v>206</v>
      </c>
      <c r="M54" s="238">
        <f t="shared" si="2"/>
        <v>89</v>
      </c>
    </row>
    <row r="55" spans="1:15" ht="12" customHeight="1">
      <c r="A55" s="3"/>
      <c r="B55" s="72"/>
      <c r="C55" s="320" t="s">
        <v>102</v>
      </c>
      <c r="D55" s="357">
        <v>1</v>
      </c>
      <c r="E55" s="84">
        <f>COUNTIF($C$4:$C$31,"TODY")+COUNTIF($F$4:$F$31,"TODY")+COUNTIF($H$4:$H$31,"TODY")+COUNTIF($I$4:$I$31,"TODY")+H65+COUNTIF($J$4:$J$31,"TODY")</f>
        <v>8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0"/>
        <v>27</v>
      </c>
      <c r="K55" s="86">
        <f t="shared" si="1"/>
        <v>117</v>
      </c>
      <c r="L55" s="86">
        <f t="shared" si="3"/>
        <v>150</v>
      </c>
      <c r="M55" s="238">
        <f t="shared" si="2"/>
        <v>33</v>
      </c>
    </row>
    <row r="56" spans="1:15" ht="12" customHeight="1">
      <c r="A56" s="3"/>
      <c r="B56" s="96"/>
      <c r="C56" s="322" t="s">
        <v>168</v>
      </c>
      <c r="D56" s="357">
        <v>1</v>
      </c>
      <c r="E56" s="84">
        <f>COUNTIF($C$4:$C$31,"RODRIGUE")+COUNTIF($F$4:$F$31,"RODRIGUE")+COUNTIF($H$4:$H$31,"RODRIGUE")+COUNTIF($I$4:$I$31,"RODRIGUE")+H66+COUNTIF($J$4:$J$31,"RODRIGUE")</f>
        <v>10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>
        <v>3</v>
      </c>
      <c r="J56" s="85">
        <f t="shared" si="0"/>
        <v>27</v>
      </c>
      <c r="K56" s="86">
        <f t="shared" si="1"/>
        <v>117</v>
      </c>
      <c r="L56" s="86">
        <f t="shared" si="3"/>
        <v>154</v>
      </c>
      <c r="M56" s="238">
        <f t="shared" si="2"/>
        <v>37</v>
      </c>
      <c r="N56" s="57"/>
      <c r="O56" s="57"/>
    </row>
    <row r="57" spans="1:15" ht="12" customHeight="1">
      <c r="A57" s="3"/>
      <c r="B57" s="73"/>
      <c r="C57" s="268" t="s">
        <v>66</v>
      </c>
      <c r="D57" s="160" t="s">
        <v>67</v>
      </c>
      <c r="E57" s="366" t="s">
        <v>68</v>
      </c>
      <c r="F57" s="72"/>
      <c r="G57" s="96"/>
      <c r="H57" s="309"/>
      <c r="I57" s="309"/>
      <c r="J57" s="309"/>
      <c r="K57" s="309"/>
      <c r="L57" s="57"/>
      <c r="M57" s="57"/>
      <c r="N57" s="57"/>
      <c r="O57" s="57"/>
    </row>
    <row r="58" spans="1:15" ht="12" customHeight="1">
      <c r="A58" s="372" t="s">
        <v>38</v>
      </c>
      <c r="B58" s="372"/>
      <c r="C58" s="272">
        <f>SEPTEMBRE!K37+OCTOBRE!K37+NOVEMBRE!K44+DECEMBRE!K37</f>
        <v>569.4</v>
      </c>
      <c r="D58" s="102">
        <f>SEPTEMBRE!L37+OCTOBRE!L37+NOVEMBRE!L44+DECEMBRE!L37</f>
        <v>588</v>
      </c>
      <c r="E58" s="352">
        <f>D58-C58</f>
        <v>18.600000000000023</v>
      </c>
      <c r="F58" s="163">
        <f t="shared" ref="F58:F77" si="4">E58/24</f>
        <v>0.77500000000000091</v>
      </c>
      <c r="G58" s="98" t="s">
        <v>71</v>
      </c>
      <c r="H58" s="98"/>
      <c r="I58" s="100"/>
      <c r="J58" s="100"/>
      <c r="K58" s="100"/>
      <c r="L58" s="57"/>
      <c r="M58" s="57"/>
      <c r="N58" s="57"/>
      <c r="O58" s="57"/>
    </row>
    <row r="59" spans="1:15" ht="12" customHeight="1">
      <c r="A59" s="372" t="s">
        <v>36</v>
      </c>
      <c r="B59" s="372"/>
      <c r="C59" s="272">
        <f>SEPTEMBRE!K38+OCTOBRE!K38+NOVEMBRE!K45+DECEMBRE!K38</f>
        <v>436.79999999999995</v>
      </c>
      <c r="D59" s="102">
        <f>SEPTEMBRE!L38+OCTOBRE!L38+NOVEMBRE!L45+DECEMBRE!L38</f>
        <v>664</v>
      </c>
      <c r="E59" s="353">
        <f>D59-C59</f>
        <v>227.20000000000005</v>
      </c>
      <c r="F59" s="163">
        <f t="shared" si="4"/>
        <v>9.4666666666666686</v>
      </c>
      <c r="G59" s="86" t="s">
        <v>22</v>
      </c>
      <c r="H59" s="102"/>
      <c r="I59" s="100"/>
      <c r="J59" s="100"/>
      <c r="K59" s="100"/>
      <c r="L59" s="57"/>
      <c r="M59" s="57"/>
      <c r="N59" s="57"/>
      <c r="O59" s="57"/>
    </row>
    <row r="60" spans="1:15" ht="12" customHeight="1">
      <c r="A60" s="372" t="s">
        <v>21</v>
      </c>
      <c r="B60" s="372"/>
      <c r="C60" s="272">
        <f>SEPTEMBRE!K39+OCTOBRE!K39+NOVEMBRE!K46+DECEMBRE!K39</f>
        <v>312</v>
      </c>
      <c r="D60" s="102">
        <f>SEPTEMBRE!L39+OCTOBRE!L39+NOVEMBRE!L46+DECEMBRE!L39</f>
        <v>358</v>
      </c>
      <c r="E60" s="353">
        <f>D60-C60</f>
        <v>46</v>
      </c>
      <c r="F60" s="163">
        <f t="shared" si="4"/>
        <v>1.9166666666666667</v>
      </c>
      <c r="G60" s="86" t="s">
        <v>29</v>
      </c>
      <c r="H60" s="102"/>
      <c r="I60" s="100"/>
      <c r="J60" s="101"/>
      <c r="K60" s="100"/>
      <c r="L60" s="57"/>
      <c r="M60" s="57"/>
      <c r="N60" s="57"/>
      <c r="O60" s="57"/>
    </row>
    <row r="61" spans="1:15" ht="12" customHeight="1">
      <c r="A61" s="372" t="s">
        <v>31</v>
      </c>
      <c r="B61" s="372"/>
      <c r="C61" s="272">
        <f>SEPTEMBRE!K40+OCTOBRE!K40+NOVEMBRE!K47+DECEMBRE!K40</f>
        <v>418.08</v>
      </c>
      <c r="D61" s="102">
        <f>SEPTEMBRE!L40+OCTOBRE!L40+NOVEMBRE!L47+DECEMBRE!L40</f>
        <v>628</v>
      </c>
      <c r="E61" s="353">
        <f>D61-C61</f>
        <v>209.92000000000002</v>
      </c>
      <c r="F61" s="163">
        <f t="shared" si="4"/>
        <v>8.7466666666666679</v>
      </c>
      <c r="G61" s="86" t="s">
        <v>48</v>
      </c>
      <c r="H61" s="102"/>
      <c r="I61" s="100"/>
      <c r="J61" s="100"/>
      <c r="K61" s="100"/>
      <c r="L61" s="57"/>
      <c r="M61" s="57"/>
      <c r="N61" s="57"/>
      <c r="O61" s="57"/>
    </row>
    <row r="62" spans="1:15" ht="12" customHeight="1">
      <c r="A62" s="373" t="s">
        <v>28</v>
      </c>
      <c r="B62" s="373"/>
      <c r="C62" s="272">
        <f>SEPTEMBRE!K41+OCTOBRE!K41+NOVEMBRE!K48+DECEMBRE!K41</f>
        <v>383.76</v>
      </c>
      <c r="D62" s="102">
        <f>SEPTEMBRE!L41+OCTOBRE!L41+NOVEMBRE!L48+DECEMBRE!L41</f>
        <v>422</v>
      </c>
      <c r="E62" s="353">
        <f>D62-C62</f>
        <v>38.240000000000009</v>
      </c>
      <c r="F62" s="163">
        <f t="shared" si="4"/>
        <v>1.5933333333333337</v>
      </c>
      <c r="G62" s="86" t="s">
        <v>44</v>
      </c>
      <c r="H62" s="102"/>
      <c r="I62" s="100"/>
      <c r="J62" s="100"/>
      <c r="K62" s="100"/>
      <c r="L62" s="57"/>
      <c r="M62" s="57"/>
      <c r="N62" s="57"/>
      <c r="O62" s="57"/>
    </row>
    <row r="63" spans="1:15" ht="12" customHeight="1">
      <c r="A63" s="373" t="s">
        <v>42</v>
      </c>
      <c r="B63" s="373"/>
      <c r="C63" s="272">
        <f>SEPTEMBRE!K42+OCTOBRE!K42+NOVEMBRE!K49+DECEMBRE!K42</f>
        <v>491.4</v>
      </c>
      <c r="D63" s="102">
        <f>SEPTEMBRE!L42+OCTOBRE!L42+NOVEMBRE!L49+DECEMBRE!L42</f>
        <v>526</v>
      </c>
      <c r="E63" s="353">
        <f>D63-C63-23.2</f>
        <v>11.400000000000023</v>
      </c>
      <c r="F63" s="163">
        <f t="shared" si="4"/>
        <v>0.47500000000000098</v>
      </c>
      <c r="G63" s="86" t="s">
        <v>23</v>
      </c>
      <c r="H63" s="102"/>
      <c r="I63" s="100"/>
      <c r="J63" s="100"/>
      <c r="K63" s="100"/>
      <c r="L63" s="57"/>
      <c r="M63" s="57"/>
      <c r="N63" s="57"/>
      <c r="O63" s="57"/>
    </row>
    <row r="64" spans="1:15" ht="12" customHeight="1">
      <c r="A64" s="373" t="s">
        <v>47</v>
      </c>
      <c r="B64" s="373"/>
      <c r="C64" s="272">
        <f>SEPTEMBRE!K43+OCTOBRE!K43+NOVEMBRE!K50+DECEMBRE!K43</f>
        <v>280.8</v>
      </c>
      <c r="D64" s="102">
        <f>SEPTEMBRE!L43+OCTOBRE!L43+NOVEMBRE!L50+DECEMBRE!L43</f>
        <v>274</v>
      </c>
      <c r="E64" s="353">
        <f t="shared" ref="E64:E77" si="5">D64-C64</f>
        <v>-6.8000000000000114</v>
      </c>
      <c r="F64" s="163">
        <f t="shared" si="4"/>
        <v>-0.28333333333333383</v>
      </c>
      <c r="G64" s="86" t="s">
        <v>32</v>
      </c>
      <c r="H64" s="102">
        <v>10</v>
      </c>
      <c r="I64" s="101"/>
      <c r="J64" s="101"/>
      <c r="K64" s="100"/>
      <c r="L64" s="57"/>
      <c r="M64" s="57"/>
      <c r="N64" s="57"/>
      <c r="O64" s="57"/>
    </row>
    <row r="65" spans="1:21" ht="12" customHeight="1">
      <c r="A65" s="373" t="s">
        <v>20</v>
      </c>
      <c r="B65" s="373"/>
      <c r="C65" s="272">
        <f>SEPTEMBRE!K44+OCTOBRE!K44+NOVEMBRE!K51+DECEMBRE!K44</f>
        <v>499.19999999999993</v>
      </c>
      <c r="D65" s="102">
        <f>SEPTEMBRE!L44+OCTOBRE!L44+NOVEMBRE!L51+DECEMBRE!L44</f>
        <v>578</v>
      </c>
      <c r="E65" s="353">
        <f t="shared" si="5"/>
        <v>78.800000000000068</v>
      </c>
      <c r="F65" s="163">
        <f t="shared" si="4"/>
        <v>3.2833333333333363</v>
      </c>
      <c r="G65" s="162" t="s">
        <v>102</v>
      </c>
      <c r="H65" s="102">
        <v>2</v>
      </c>
      <c r="I65" s="100"/>
      <c r="J65" s="100"/>
      <c r="K65" s="100"/>
      <c r="L65" s="57"/>
      <c r="M65" s="57"/>
      <c r="N65" s="57"/>
      <c r="O65" s="57"/>
    </row>
    <row r="66" spans="1:21" ht="12" customHeight="1">
      <c r="A66" s="373" t="s">
        <v>19</v>
      </c>
      <c r="B66" s="373"/>
      <c r="C66" s="272">
        <f>SEPTEMBRE!K45+OCTOBRE!K45+NOVEMBRE!K52+DECEMBRE!K45</f>
        <v>216.84</v>
      </c>
      <c r="D66" s="102">
        <f>SEPTEMBRE!L45+OCTOBRE!L45+NOVEMBRE!L52+DECEMBRE!L45</f>
        <v>224</v>
      </c>
      <c r="E66" s="353">
        <f t="shared" si="5"/>
        <v>7.1599999999999966</v>
      </c>
      <c r="F66" s="163">
        <f t="shared" si="4"/>
        <v>0.29833333333333317</v>
      </c>
      <c r="G66" s="203" t="s">
        <v>168</v>
      </c>
      <c r="H66" s="102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73" t="s">
        <v>37</v>
      </c>
      <c r="B67" s="373"/>
      <c r="C67" s="272">
        <f>SEPTEMBRE!K46+OCTOBRE!K46+NOVEMBRE!K53+DECEMBRE!K46</f>
        <v>232.44</v>
      </c>
      <c r="D67" s="102">
        <f>SEPTEMBRE!L46+OCTOBRE!L46+NOVEMBRE!L53+DECEMBRE!L46</f>
        <v>242</v>
      </c>
      <c r="E67" s="353">
        <f t="shared" si="5"/>
        <v>9.5600000000000023</v>
      </c>
      <c r="F67" s="163">
        <f t="shared" si="4"/>
        <v>0.39833333333333343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73" t="s">
        <v>27</v>
      </c>
      <c r="B68" s="373"/>
      <c r="C68" s="272">
        <f>SEPTEMBRE!K47+OCTOBRE!K47+NOVEMBRE!K54+DECEMBRE!K47</f>
        <v>455.52000000000004</v>
      </c>
      <c r="D68" s="102">
        <f>SEPTEMBRE!L47+OCTOBRE!L47+NOVEMBRE!L54+DECEMBRE!L47</f>
        <v>554</v>
      </c>
      <c r="E68" s="353">
        <f t="shared" si="5"/>
        <v>98.479999999999961</v>
      </c>
      <c r="F68" s="163">
        <f t="shared" si="4"/>
        <v>4.1033333333333317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>
      <c r="A69" s="373" t="s">
        <v>34</v>
      </c>
      <c r="B69" s="373"/>
      <c r="C69" s="272">
        <f>SEPTEMBRE!K48+OCTOBRE!K48+NOVEMBRE!K55+DECEMBRE!K48</f>
        <v>374.4</v>
      </c>
      <c r="D69" s="102">
        <f>SEPTEMBRE!L48+OCTOBRE!L48+NOVEMBRE!L55+DECEMBRE!L48</f>
        <v>426</v>
      </c>
      <c r="E69" s="353">
        <f t="shared" si="5"/>
        <v>51.600000000000023</v>
      </c>
      <c r="F69" s="163">
        <f t="shared" si="4"/>
        <v>2.1500000000000008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>
      <c r="A70" s="373" t="s">
        <v>22</v>
      </c>
      <c r="B70" s="373"/>
      <c r="C70" s="272">
        <f>SEPTEMBRE!K49+OCTOBRE!K49+NOVEMBRE!K56+DECEMBRE!K49</f>
        <v>585</v>
      </c>
      <c r="D70" s="102">
        <f>SEPTEMBRE!L49+OCTOBRE!L49+NOVEMBRE!L56+DECEMBRE!L49</f>
        <v>604</v>
      </c>
      <c r="E70" s="353">
        <f t="shared" si="5"/>
        <v>19</v>
      </c>
      <c r="F70" s="163">
        <f t="shared" si="4"/>
        <v>0.79166666666666663</v>
      </c>
      <c r="G70" s="102" t="s">
        <v>14</v>
      </c>
      <c r="H70" s="166">
        <v>1</v>
      </c>
      <c r="I70" s="86" t="s">
        <v>112</v>
      </c>
      <c r="J70" s="86" t="s">
        <v>113</v>
      </c>
      <c r="K70" s="86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>
      <c r="A71" s="373" t="s">
        <v>29</v>
      </c>
      <c r="B71" s="373"/>
      <c r="C71" s="272">
        <f>SEPTEMBRE!K50+OCTOBRE!K50+NOVEMBRE!K57+DECEMBRE!K50</f>
        <v>561.6</v>
      </c>
      <c r="D71" s="102">
        <f>SEPTEMBRE!L50+OCTOBRE!L50+NOVEMBRE!L57+DECEMBRE!L50</f>
        <v>606</v>
      </c>
      <c r="E71" s="353">
        <f t="shared" si="5"/>
        <v>44.399999999999977</v>
      </c>
      <c r="F71" s="163">
        <f t="shared" si="4"/>
        <v>1.849999999999999</v>
      </c>
      <c r="G71" s="161" t="s">
        <v>38</v>
      </c>
      <c r="H71" s="167">
        <v>100</v>
      </c>
      <c r="I71" s="86">
        <f t="shared" ref="I71:I90" si="6">(44*H71)/100</f>
        <v>44</v>
      </c>
      <c r="J71" s="86">
        <f>AOUT!J74+SEPTEMBRE!I37+OCTOBRE!I37+NOVEMBRE!I44+DECEMBRE!I37</f>
        <v>38</v>
      </c>
      <c r="K71" s="86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73" t="s">
        <v>48</v>
      </c>
      <c r="B72" s="373"/>
      <c r="C72" s="272">
        <f>SEPTEMBRE!K51+OCTOBRE!K51+NOVEMBRE!K58+DECEMBRE!K51</f>
        <v>499.2</v>
      </c>
      <c r="D72" s="102">
        <f>SEPTEMBRE!L51+OCTOBRE!L51+NOVEMBRE!L58+DECEMBRE!L51</f>
        <v>498</v>
      </c>
      <c r="E72" s="353">
        <f t="shared" si="5"/>
        <v>-1.1999999999999886</v>
      </c>
      <c r="F72" s="163">
        <f t="shared" si="4"/>
        <v>-4.9999999999999524E-2</v>
      </c>
      <c r="G72" s="161" t="s">
        <v>36</v>
      </c>
      <c r="H72" s="167">
        <v>100</v>
      </c>
      <c r="I72" s="86">
        <v>43.27</v>
      </c>
      <c r="J72" s="86">
        <f>AOUT!J75+SEPTEMBRE!I38+OCTOBRE!I38+NOVEMBRE!I45+DECEMBRE!I38</f>
        <v>42.5</v>
      </c>
      <c r="K72" s="86">
        <f t="shared" si="7"/>
        <v>0.77000000000000313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73" t="s">
        <v>44</v>
      </c>
      <c r="B73" s="373"/>
      <c r="C73" s="272">
        <f>SEPTEMBRE!K52+OCTOBRE!K52+NOVEMBRE!K59+DECEMBRE!K52</f>
        <v>639.6</v>
      </c>
      <c r="D73" s="102">
        <f>SEPTEMBRE!L52+OCTOBRE!L52+NOVEMBRE!L59+DECEMBRE!L52</f>
        <v>558</v>
      </c>
      <c r="E73" s="240">
        <f t="shared" si="5"/>
        <v>-81.600000000000023</v>
      </c>
      <c r="F73" s="163">
        <f t="shared" si="4"/>
        <v>-3.4000000000000008</v>
      </c>
      <c r="G73" s="161" t="s">
        <v>21</v>
      </c>
      <c r="H73" s="167">
        <v>50</v>
      </c>
      <c r="I73" s="86">
        <f t="shared" si="6"/>
        <v>22</v>
      </c>
      <c r="J73" s="86">
        <f>AOUT!J76+SEPTEMBRE!I39+OCTOBRE!I39+NOVEMBRE!I46+DECEMBRE!I39</f>
        <v>23</v>
      </c>
      <c r="K73" s="86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73" t="s">
        <v>23</v>
      </c>
      <c r="B74" s="373"/>
      <c r="C74" s="272">
        <f>SEPTEMBRE!K53+OCTOBRE!K53+NOVEMBRE!K60+DECEMBRE!K53</f>
        <v>530.4</v>
      </c>
      <c r="D74" s="102">
        <f>SEPTEMBRE!L53+OCTOBRE!L53+NOVEMBRE!L60+DECEMBRE!L53</f>
        <v>536</v>
      </c>
      <c r="E74" s="353">
        <f t="shared" si="5"/>
        <v>5.6000000000000227</v>
      </c>
      <c r="F74" s="163">
        <f t="shared" si="4"/>
        <v>0.23333333333333428</v>
      </c>
      <c r="G74" s="161" t="s">
        <v>31</v>
      </c>
      <c r="H74" s="167">
        <v>80</v>
      </c>
      <c r="I74" s="86">
        <f t="shared" si="6"/>
        <v>35.200000000000003</v>
      </c>
      <c r="J74" s="86">
        <f>AOUT!J77+SEPTEMBRE!I40+OCTOBRE!I40+NOVEMBRE!I47+DECEMBRE!I40</f>
        <v>35.200000000000003</v>
      </c>
      <c r="K74" s="86">
        <f t="shared" si="7"/>
        <v>0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73" t="s">
        <v>32</v>
      </c>
      <c r="B75" s="373"/>
      <c r="C75" s="272">
        <f>SEPTEMBRE!K54+OCTOBRE!K54+NOVEMBRE!K61+DECEMBRE!K54</f>
        <v>538.19999999999993</v>
      </c>
      <c r="D75" s="102">
        <f>SEPTEMBRE!L54+OCTOBRE!L54+NOVEMBRE!L61+DECEMBRE!L54</f>
        <v>750</v>
      </c>
      <c r="E75" s="353">
        <f t="shared" si="5"/>
        <v>211.80000000000007</v>
      </c>
      <c r="F75" s="163">
        <f t="shared" si="4"/>
        <v>8.8250000000000028</v>
      </c>
      <c r="G75" s="162" t="s">
        <v>28</v>
      </c>
      <c r="H75" s="167">
        <v>60</v>
      </c>
      <c r="I75" s="86">
        <f t="shared" si="6"/>
        <v>26.4</v>
      </c>
      <c r="J75" s="86">
        <f>AOUT!J78+SEPTEMBRE!I41+OCTOBRE!I41+NOVEMBRE!I48+DECEMBRE!I41</f>
        <v>14.6</v>
      </c>
      <c r="K75" s="86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73" t="s">
        <v>102</v>
      </c>
      <c r="B76" s="373"/>
      <c r="C76" s="272">
        <f>SEPTEMBRE!K55+OCTOBRE!K55+NOVEMBRE!K62+DECEMBRE!K55</f>
        <v>546</v>
      </c>
      <c r="D76" s="102">
        <f>SEPTEMBRE!L55+OCTOBRE!L55+NOVEMBRE!L62+DECEMBRE!L55</f>
        <v>648</v>
      </c>
      <c r="E76" s="353">
        <f t="shared" si="5"/>
        <v>102</v>
      </c>
      <c r="F76" s="163">
        <f t="shared" si="4"/>
        <v>4.25</v>
      </c>
      <c r="G76" s="162" t="s">
        <v>42</v>
      </c>
      <c r="H76" s="167">
        <v>100</v>
      </c>
      <c r="I76" s="86">
        <f t="shared" si="6"/>
        <v>44</v>
      </c>
      <c r="J76" s="86">
        <f>AOUT!J79+SEPTEMBRE!I42+OCTOBRE!I42+NOVEMBRE!I49+DECEMBRE!I42</f>
        <v>44</v>
      </c>
      <c r="K76" s="86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74" t="s">
        <v>168</v>
      </c>
      <c r="B77" s="374"/>
      <c r="C77" s="272">
        <f>SEPTEMBRE!K56+OCTOBRE!K56+NOVEMBRE!K63+DECEMBRE!K56</f>
        <v>546</v>
      </c>
      <c r="D77" s="102">
        <f>SEPTEMBRE!L56+OCTOBRE!L56+NOVEMBRE!L63+DECEMBRE!L56</f>
        <v>616</v>
      </c>
      <c r="E77" s="353">
        <f t="shared" si="5"/>
        <v>70</v>
      </c>
      <c r="F77" s="163">
        <f t="shared" si="4"/>
        <v>2.9166666666666665</v>
      </c>
      <c r="G77" s="162" t="s">
        <v>47</v>
      </c>
      <c r="H77" s="167">
        <v>50</v>
      </c>
      <c r="I77" s="86">
        <f t="shared" si="6"/>
        <v>22</v>
      </c>
      <c r="J77" s="86">
        <f>AOUT!J80+SEPTEMBRE!I43+OCTOBRE!I43+NOVEMBRE!I50+DECEMBRE!I43</f>
        <v>7</v>
      </c>
      <c r="K77" s="86">
        <f t="shared" si="7"/>
        <v>15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162" t="s">
        <v>20</v>
      </c>
      <c r="H78" s="167">
        <v>100</v>
      </c>
      <c r="I78" s="86">
        <f t="shared" si="6"/>
        <v>44</v>
      </c>
      <c r="J78" s="86">
        <f>AOUT!J81+SEPTEMBRE!I44+OCTOBRE!I44+NOVEMBRE!I51+DECEMBRE!I44</f>
        <v>44</v>
      </c>
      <c r="K78" s="86">
        <f t="shared" si="7"/>
        <v>0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162" t="s">
        <v>19</v>
      </c>
      <c r="H79" s="167">
        <v>40</v>
      </c>
      <c r="I79" s="86">
        <f t="shared" si="6"/>
        <v>17.600000000000001</v>
      </c>
      <c r="J79" s="86">
        <f>AOUT!J82+SEPTEMBRE!I45+OCTOBRE!I45+NOVEMBRE!I52+DECEMBRE!I45</f>
        <v>10.199999999999999</v>
      </c>
      <c r="K79" s="86">
        <f t="shared" si="7"/>
        <v>7.4000000000000021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162" t="s">
        <v>37</v>
      </c>
      <c r="H80" s="167">
        <v>40</v>
      </c>
      <c r="I80" s="86">
        <f t="shared" si="6"/>
        <v>17.600000000000001</v>
      </c>
      <c r="J80" s="86">
        <f>AOUT!J83+SEPTEMBRE!I46+OCTOBRE!I46+NOVEMBRE!I53+DECEMBRE!I46</f>
        <v>9.4</v>
      </c>
      <c r="K80" s="86">
        <f t="shared" si="7"/>
        <v>8.2000000000000011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162" t="s">
        <v>27</v>
      </c>
      <c r="H81" s="167">
        <v>80</v>
      </c>
      <c r="I81" s="86">
        <f t="shared" si="6"/>
        <v>35.200000000000003</v>
      </c>
      <c r="J81" s="86">
        <f>AOUT!J84+SEPTEMBRE!I47+OCTOBRE!I47+NOVEMBRE!I54+DECEMBRE!I47</f>
        <v>26.4</v>
      </c>
      <c r="K81" s="86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162" t="s">
        <v>34</v>
      </c>
      <c r="H82" s="167">
        <v>100</v>
      </c>
      <c r="I82" s="86">
        <f t="shared" si="6"/>
        <v>44</v>
      </c>
      <c r="J82" s="86">
        <f>AOUT!J85+SEPTEMBRE!I48+OCTOBRE!I48+NOVEMBRE!I55+DECEMBRE!I48</f>
        <v>44</v>
      </c>
      <c r="K82" s="86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162" t="s">
        <v>22</v>
      </c>
      <c r="H83" s="167">
        <v>100</v>
      </c>
      <c r="I83" s="86">
        <f t="shared" si="6"/>
        <v>44</v>
      </c>
      <c r="J83" s="86">
        <f>AOUT!J86+SEPTEMBRE!I49+OCTOBRE!I49+NOVEMBRE!I56+DECEMBRE!I49</f>
        <v>27</v>
      </c>
      <c r="K83" s="86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162" t="s">
        <v>29</v>
      </c>
      <c r="H84" s="167">
        <v>100</v>
      </c>
      <c r="I84" s="86">
        <f t="shared" si="6"/>
        <v>44</v>
      </c>
      <c r="J84" s="86">
        <f>AOUT!J87+SEPTEMBRE!I50+OCTOBRE!I50+NOVEMBRE!I57+DECEMBRE!I50</f>
        <v>31</v>
      </c>
      <c r="K84" s="86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162" t="s">
        <v>48</v>
      </c>
      <c r="H85" s="167">
        <v>100</v>
      </c>
      <c r="I85" s="86">
        <f t="shared" si="6"/>
        <v>44</v>
      </c>
      <c r="J85" s="86">
        <f>AOUT!J88+SEPTEMBRE!I51+OCTOBRE!I51+NOVEMBRE!I58+DECEMBRE!I51</f>
        <v>24</v>
      </c>
      <c r="K85" s="86">
        <f t="shared" si="7"/>
        <v>20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162" t="s">
        <v>44</v>
      </c>
      <c r="H86" s="167">
        <v>100</v>
      </c>
      <c r="I86" s="86">
        <f t="shared" si="6"/>
        <v>44</v>
      </c>
      <c r="J86" s="86">
        <f>AOUT!J89+SEPTEMBRE!I52+OCTOBRE!I52+NOVEMBRE!I59+DECEMBRE!I52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162" t="s">
        <v>23</v>
      </c>
      <c r="H87" s="167">
        <v>100</v>
      </c>
      <c r="I87" s="86">
        <f t="shared" si="6"/>
        <v>44</v>
      </c>
      <c r="J87" s="86">
        <f>AOUT!J90+SEPTEMBRE!I53+OCTOBRE!I53+NOVEMBRE!I60+DECEMBRE!I53</f>
        <v>32</v>
      </c>
      <c r="K87" s="86">
        <f t="shared" si="7"/>
        <v>12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258" t="s">
        <v>32</v>
      </c>
      <c r="H88" s="323">
        <v>100</v>
      </c>
      <c r="I88" s="324">
        <f t="shared" si="6"/>
        <v>44</v>
      </c>
      <c r="J88" s="324">
        <f>AOUT!J91+SEPTEMBRE!I54+OCTOBRE!I54+NOVEMBRE!I61+DECEMBRE!I54</f>
        <v>28</v>
      </c>
      <c r="K88" s="324">
        <f t="shared" si="7"/>
        <v>16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320" t="s">
        <v>102</v>
      </c>
      <c r="H89" s="321">
        <v>100</v>
      </c>
      <c r="I89" s="321">
        <f t="shared" si="6"/>
        <v>44</v>
      </c>
      <c r="J89" s="321">
        <f>AOUT!J92+SEPTEMBRE!I55+OCTOBRE!I55+NOVEMBRE!I62+DECEMBRE!I55</f>
        <v>12</v>
      </c>
      <c r="K89" s="321">
        <f t="shared" si="7"/>
        <v>32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322" t="s">
        <v>168</v>
      </c>
      <c r="H90" s="321">
        <v>100</v>
      </c>
      <c r="I90" s="321">
        <f t="shared" si="6"/>
        <v>44</v>
      </c>
      <c r="J90" s="321">
        <f>AOUT!J93+SEPTEMBRE!I56+OCTOBRE!I56+NOVEMBRE!I63+DECEMBRE!I56</f>
        <v>12</v>
      </c>
      <c r="K90" s="321">
        <f t="shared" si="7"/>
        <v>32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  <row r="870" spans="16:21" ht="12" customHeight="1">
      <c r="P870" s="3"/>
      <c r="Q870" s="3"/>
      <c r="R870" s="3"/>
      <c r="S870" s="3"/>
      <c r="T870" s="3"/>
      <c r="U870" s="3"/>
    </row>
    <row r="871" spans="16:21" ht="12" customHeight="1">
      <c r="P871" s="3"/>
      <c r="Q871" s="3"/>
      <c r="R871" s="3"/>
      <c r="S871" s="3"/>
      <c r="T871" s="3"/>
      <c r="U871" s="3"/>
    </row>
    <row r="872" spans="16:21" ht="12" customHeight="1">
      <c r="P872" s="3"/>
      <c r="Q872" s="3"/>
      <c r="R872" s="3"/>
      <c r="S872" s="3"/>
      <c r="T872" s="3"/>
      <c r="U872" s="3"/>
    </row>
  </sheetData>
  <mergeCells count="26">
    <mergeCell ref="A77:B77"/>
    <mergeCell ref="A72:B72"/>
    <mergeCell ref="A73:B73"/>
    <mergeCell ref="A74:B74"/>
    <mergeCell ref="A75:B75"/>
    <mergeCell ref="A76:B76"/>
    <mergeCell ref="A67:B67"/>
    <mergeCell ref="A68:B68"/>
    <mergeCell ref="A69:B69"/>
    <mergeCell ref="A70:B70"/>
    <mergeCell ref="A71:B71"/>
    <mergeCell ref="A62:B62"/>
    <mergeCell ref="A63:B63"/>
    <mergeCell ref="A64:B64"/>
    <mergeCell ref="A65:B65"/>
    <mergeCell ref="A66:B66"/>
    <mergeCell ref="L35:M35"/>
    <mergeCell ref="A58:B58"/>
    <mergeCell ref="A59:B59"/>
    <mergeCell ref="A60:B60"/>
    <mergeCell ref="A61:B61"/>
    <mergeCell ref="A1:O1"/>
    <mergeCell ref="C2:D2"/>
    <mergeCell ref="F2:G2"/>
    <mergeCell ref="J2:O2"/>
    <mergeCell ref="A33:D33"/>
  </mergeCells>
  <dataValidations count="1">
    <dataValidation type="list" allowBlank="1" showErrorMessage="1" sqref="C4:D22 E5:L5 C30:D31 F6:L6 E7:L7 E15:K15 E9:K9 G18:J31 E11:K11 F4:L4 F10:K10 F14:K14 F8:L8 H16:K16 E16:F31 G17:K17 F12:K12 K19:K21 K23:K26 C25:D28 K28:K31 E13:G13 I13:K13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Utilisateur invité</cp:lastModifiedBy>
  <cp:revision>0</cp:revision>
  <dcterms:created xsi:type="dcterms:W3CDTF">2016-04-19T20:05:50Z</dcterms:created>
  <dcterms:modified xsi:type="dcterms:W3CDTF">2026-09-30T13:55:15Z</dcterms:modified>
  <cp:category/>
  <cp:contentStatus/>
</cp:coreProperties>
</file>