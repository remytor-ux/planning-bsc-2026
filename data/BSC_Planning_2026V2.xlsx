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5"/>
  <workbookPr/>
  <mc:AlternateContent xmlns:mc="http://schemas.openxmlformats.org/markup-compatibility/2006">
    <mc:Choice Requires="x15">
      <x15ac:absPath xmlns:x15ac="http://schemas.microsoft.com/office/spreadsheetml/2010/11/ac" url="https://d.docs.live.net/668ECB31750D9E22/"/>
    </mc:Choice>
  </mc:AlternateContent>
  <xr:revisionPtr revIDLastSave="473" documentId="11_82001204A17853BD4102BB3957D4EBE5562A03D3" xr6:coauthVersionLast="47" xr6:coauthVersionMax="47" xr10:uidLastSave="{788BC223-37D7-1E48-9199-CB3B84B1A116}"/>
  <bookViews>
    <workbookView xWindow="0" yWindow="660" windowWidth="29400" windowHeight="18460" tabRatio="500" firstSheet="9" activeTab="11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AOUT!$A$1:$O$38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7">JUILLET!$B$2:$K$31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F44" i="11"/>
  <c r="L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L55" i="11"/>
  <c r="M55" i="11"/>
  <c r="K54" i="11"/>
  <c r="J54" i="11"/>
  <c r="G54" i="11"/>
  <c r="F54" i="11"/>
  <c r="E54" i="11"/>
  <c r="L54" i="11"/>
  <c r="K53" i="11"/>
  <c r="J53" i="11"/>
  <c r="G53" i="11"/>
  <c r="F53" i="11"/>
  <c r="E53" i="11"/>
  <c r="K52" i="11"/>
  <c r="J52" i="11"/>
  <c r="G52" i="11"/>
  <c r="F52" i="11"/>
  <c r="E52" i="11"/>
  <c r="L52" i="11"/>
  <c r="K51" i="11"/>
  <c r="J51" i="11"/>
  <c r="G51" i="11"/>
  <c r="F51" i="11"/>
  <c r="E51" i="11"/>
  <c r="K50" i="11"/>
  <c r="J50" i="11"/>
  <c r="G50" i="11"/>
  <c r="F50" i="11"/>
  <c r="E50" i="11"/>
  <c r="L50" i="11"/>
  <c r="K49" i="11"/>
  <c r="J49" i="11"/>
  <c r="G49" i="11"/>
  <c r="F49" i="11"/>
  <c r="E49" i="11"/>
  <c r="K48" i="11"/>
  <c r="J48" i="11"/>
  <c r="G48" i="11"/>
  <c r="F48" i="11"/>
  <c r="E48" i="11"/>
  <c r="L48" i="11"/>
  <c r="K47" i="11"/>
  <c r="J47" i="11"/>
  <c r="G47" i="11"/>
  <c r="F47" i="11"/>
  <c r="E47" i="11"/>
  <c r="K46" i="11"/>
  <c r="J46" i="11"/>
  <c r="G46" i="11"/>
  <c r="F46" i="11"/>
  <c r="E46" i="11"/>
  <c r="L46" i="11"/>
  <c r="L46" i="13"/>
  <c r="D67" i="13"/>
  <c r="C67" i="13"/>
  <c r="E67" i="13"/>
  <c r="F67" i="13"/>
  <c r="K45" i="11"/>
  <c r="J45" i="11"/>
  <c r="G45" i="11"/>
  <c r="F45" i="11"/>
  <c r="E45" i="11"/>
  <c r="K44" i="11"/>
  <c r="J44" i="11"/>
  <c r="H44" i="11"/>
  <c r="G44" i="11"/>
  <c r="K43" i="11"/>
  <c r="G43" i="11"/>
  <c r="F43" i="11"/>
  <c r="E43" i="11"/>
  <c r="L43" i="11"/>
  <c r="K42" i="11"/>
  <c r="J42" i="11"/>
  <c r="G42" i="11"/>
  <c r="F42" i="11"/>
  <c r="E42" i="11"/>
  <c r="L42" i="11"/>
  <c r="K41" i="11"/>
  <c r="J41" i="11"/>
  <c r="G41" i="11"/>
  <c r="F41" i="11"/>
  <c r="E41" i="11"/>
  <c r="K40" i="11"/>
  <c r="J40" i="11"/>
  <c r="G40" i="11"/>
  <c r="F40" i="11"/>
  <c r="E40" i="11"/>
  <c r="K39" i="11"/>
  <c r="J39" i="11"/>
  <c r="G39" i="11"/>
  <c r="F39" i="11"/>
  <c r="E39" i="11"/>
  <c r="L39" i="11"/>
  <c r="M39" i="11"/>
  <c r="K38" i="11"/>
  <c r="J38" i="11"/>
  <c r="H38" i="11"/>
  <c r="G38" i="11"/>
  <c r="F38" i="11"/>
  <c r="E38" i="11"/>
  <c r="K37" i="11"/>
  <c r="J37" i="11"/>
  <c r="G37" i="11"/>
  <c r="F37" i="11"/>
  <c r="E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C59" i="13"/>
  <c r="C63" i="13"/>
  <c r="C71" i="13"/>
  <c r="C75" i="13"/>
  <c r="L47" i="12"/>
  <c r="M47" i="12"/>
  <c r="L51" i="12"/>
  <c r="M51" i="12"/>
  <c r="L55" i="12"/>
  <c r="M55" i="12"/>
  <c r="L59" i="12"/>
  <c r="M59" i="12"/>
  <c r="L63" i="12"/>
  <c r="M63" i="12"/>
  <c r="L41" i="13"/>
  <c r="M41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M38" i="10"/>
  <c r="M44" i="10"/>
  <c r="D79" i="5"/>
  <c r="E79" i="5"/>
  <c r="F79" i="5"/>
  <c r="N54" i="1"/>
  <c r="M43" i="2"/>
  <c r="N43" i="2"/>
  <c r="M47" i="2"/>
  <c r="N47" i="2"/>
  <c r="J74" i="13"/>
  <c r="K74" i="13"/>
  <c r="K77" i="9"/>
  <c r="N37" i="6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M50" i="10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M52" i="10"/>
  <c r="L55" i="10"/>
  <c r="L56" i="11"/>
  <c r="D77" i="13"/>
  <c r="E77" i="13"/>
  <c r="F77" i="13"/>
  <c r="L48" i="12"/>
  <c r="M48" i="12"/>
  <c r="K84" i="13"/>
  <c r="K91" i="9"/>
  <c r="L37" i="10"/>
  <c r="M45" i="10"/>
  <c r="M53" i="10"/>
  <c r="C74" i="13"/>
  <c r="L56" i="12"/>
  <c r="M56" i="12"/>
  <c r="L37" i="13"/>
  <c r="M37" i="13"/>
  <c r="K72" i="13"/>
  <c r="K75" i="13"/>
  <c r="K79" i="13"/>
  <c r="K87" i="13"/>
  <c r="K83" i="9"/>
  <c r="M39" i="10"/>
  <c r="M43" i="10"/>
  <c r="M48" i="10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M47" i="10"/>
  <c r="D76" i="9"/>
  <c r="E76" i="9"/>
  <c r="F76" i="9"/>
  <c r="M37" i="10"/>
  <c r="M55" i="10"/>
  <c r="M42" i="10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  <c r="M43" i="11"/>
  <c r="D64" i="13"/>
  <c r="E64" i="13"/>
  <c r="F64" i="13"/>
  <c r="L37" i="11"/>
  <c r="L45" i="11"/>
  <c r="M45" i="11"/>
  <c r="L47" i="11"/>
  <c r="D68" i="13"/>
  <c r="E68" i="13"/>
  <c r="F68" i="13"/>
  <c r="L49" i="11"/>
  <c r="D70" i="13"/>
  <c r="E70" i="13"/>
  <c r="F70" i="13"/>
  <c r="L51" i="11"/>
  <c r="D72" i="13"/>
  <c r="E72" i="13"/>
  <c r="F72" i="13"/>
  <c r="L53" i="11"/>
  <c r="M53" i="11"/>
  <c r="L41" i="11"/>
  <c r="D62" i="13"/>
  <c r="E62" i="13"/>
  <c r="F62" i="13"/>
  <c r="L38" i="11"/>
  <c r="D59" i="13"/>
  <c r="E59" i="13"/>
  <c r="F59" i="13"/>
  <c r="L40" i="11"/>
  <c r="D65" i="13"/>
  <c r="E65" i="13"/>
  <c r="F65" i="13"/>
  <c r="M44" i="11"/>
  <c r="M52" i="11"/>
  <c r="D73" i="13"/>
  <c r="E73" i="13"/>
  <c r="F73" i="13"/>
  <c r="M42" i="11"/>
  <c r="D63" i="13"/>
  <c r="E63" i="13"/>
  <c r="F63" i="13"/>
  <c r="D76" i="13"/>
  <c r="E76" i="13"/>
  <c r="F76" i="13"/>
  <c r="D71" i="13"/>
  <c r="E71" i="13"/>
  <c r="F71" i="13"/>
  <c r="M50" i="11"/>
  <c r="M37" i="11"/>
  <c r="D58" i="13"/>
  <c r="E58" i="13"/>
  <c r="F58" i="13"/>
  <c r="M40" i="11"/>
  <c r="D61" i="13"/>
  <c r="E61" i="13"/>
  <c r="F61" i="13"/>
  <c r="M48" i="11"/>
  <c r="D69" i="13"/>
  <c r="E69" i="13"/>
  <c r="F69" i="13"/>
  <c r="D75" i="13"/>
  <c r="E75" i="13"/>
  <c r="F75" i="13"/>
  <c r="M54" i="11"/>
  <c r="M56" i="11"/>
  <c r="M46" i="11"/>
  <c r="D60" i="13"/>
  <c r="E60" i="13"/>
  <c r="F60" i="13"/>
  <c r="M51" i="11"/>
  <c r="M38" i="11"/>
  <c r="M49" i="11"/>
  <c r="M41" i="11"/>
  <c r="M47" i="11"/>
  <c r="D66" i="13"/>
  <c r="E66" i="13"/>
  <c r="F66" i="13"/>
  <c r="D74" i="13"/>
  <c r="E74" i="13"/>
  <c r="F7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<sst xmlns="http://schemas.openxmlformats.org/spreadsheetml/2006/main" count="4210" uniqueCount="227">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</sst>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family val="2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4" fillId="14" borderId="0" xfId="0" applyFont="1" applyFill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/>
    <xf numFmtId="0" fontId="4" fillId="14" borderId="0" xfId="0" applyFont="1" applyFill="1" applyAlignment="1">
      <alignment horizontal="right"/>
    </xf>
    <xf numFmtId="0" fontId="2" fillId="14" borderId="0" xfId="0" applyFont="1" applyFill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/>
    <xf numFmtId="0" fontId="6" fillId="14" borderId="1" xfId="0" applyFont="1" applyFill="1" applyBorder="1"/>
    <xf numFmtId="0" fontId="7" fillId="14" borderId="3" xfId="0" applyFont="1" applyFill="1" applyBorder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/>
    <xf numFmtId="0" fontId="11" fillId="0" borderId="1" xfId="0" applyFont="1" applyBorder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/>
    <xf numFmtId="0" fontId="8" fillId="16" borderId="3" xfId="0" applyFont="1" applyFill="1" applyBorder="1"/>
    <xf numFmtId="0" fontId="6" fillId="16" borderId="1" xfId="0" applyFont="1" applyFill="1" applyBorder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/>
    <xf numFmtId="0" fontId="12" fillId="17" borderId="0" xfId="0" applyFont="1" applyFill="1"/>
    <xf numFmtId="0" fontId="12" fillId="18" borderId="0" xfId="0" applyFont="1" applyFill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12" fillId="10" borderId="1" xfId="0" applyFont="1" applyFill="1" applyBorder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0" fontId="13" fillId="10" borderId="1" xfId="0" applyFont="1" applyFill="1" applyBorder="1"/>
    <xf numFmtId="0" fontId="4" fillId="10" borderId="2" xfId="0" applyFont="1" applyFill="1" applyBorder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/>
    <xf numFmtId="0" fontId="6" fillId="16" borderId="2" xfId="0" applyFont="1" applyFill="1" applyBorder="1" applyAlignment="1">
      <alignment horizontal="center"/>
    </xf>
    <xf numFmtId="0" fontId="4" fillId="19" borderId="0" xfId="0" applyFont="1" applyFill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/>
    <xf numFmtId="0" fontId="16" fillId="10" borderId="1" xfId="0" applyFont="1" applyFill="1" applyBorder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/>
    <xf numFmtId="0" fontId="4" fillId="14" borderId="1" xfId="0" applyFont="1" applyFill="1" applyBorder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/>
    <xf numFmtId="0" fontId="8" fillId="14" borderId="2" xfId="0" applyFont="1" applyFill="1" applyBorder="1"/>
    <xf numFmtId="0" fontId="8" fillId="14" borderId="12" xfId="0" applyFont="1" applyFill="1" applyBorder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/>
    <xf numFmtId="0" fontId="13" fillId="16" borderId="1" xfId="0" applyFont="1" applyFill="1" applyBorder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/>
    <xf numFmtId="0" fontId="2" fillId="0" borderId="1" xfId="0" applyFont="1" applyBorder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/>
    <xf numFmtId="0" fontId="23" fillId="13" borderId="0" xfId="0" applyFont="1" applyFill="1"/>
    <xf numFmtId="0" fontId="8" fillId="14" borderId="10" xfId="0" applyFont="1" applyFill="1" applyBorder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/>
    <xf numFmtId="0" fontId="19" fillId="16" borderId="1" xfId="0" applyFont="1" applyFill="1" applyBorder="1"/>
    <xf numFmtId="0" fontId="2" fillId="0" borderId="12" xfId="0" applyFont="1" applyBorder="1"/>
    <xf numFmtId="0" fontId="6" fillId="10" borderId="1" xfId="0" applyFont="1" applyFill="1" applyBorder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/>
    <xf numFmtId="0" fontId="5" fillId="14" borderId="0" xfId="0" applyFont="1" applyFill="1"/>
    <xf numFmtId="0" fontId="5" fillId="0" borderId="0" xfId="0" applyFo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/>
    <xf numFmtId="0" fontId="4" fillId="21" borderId="1" xfId="0" applyFont="1" applyFill="1" applyBorder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/>
    <xf numFmtId="0" fontId="13" fillId="0" borderId="0" xfId="0" applyFo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/>
    <xf numFmtId="0" fontId="22" fillId="0" borderId="1" xfId="0" applyFont="1" applyBorder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/>
    <xf numFmtId="0" fontId="8" fillId="14" borderId="15" xfId="0" applyFont="1" applyFill="1" applyBorder="1"/>
    <xf numFmtId="0" fontId="8" fillId="16" borderId="15" xfId="0" applyFont="1" applyFill="1" applyBorder="1"/>
    <xf numFmtId="0" fontId="7" fillId="16" borderId="7" xfId="0" applyFont="1" applyFill="1" applyBorder="1"/>
    <xf numFmtId="0" fontId="8" fillId="24" borderId="15" xfId="0" applyFont="1" applyFill="1" applyBorder="1"/>
    <xf numFmtId="0" fontId="7" fillId="24" borderId="15" xfId="0" applyFont="1" applyFill="1" applyBorder="1"/>
    <xf numFmtId="0" fontId="4" fillId="14" borderId="15" xfId="0" applyFont="1" applyFill="1" applyBorder="1"/>
    <xf numFmtId="0" fontId="4" fillId="0" borderId="15" xfId="0" applyFont="1" applyBorder="1"/>
    <xf numFmtId="0" fontId="19" fillId="0" borderId="15" xfId="0" applyFont="1" applyBorder="1"/>
    <xf numFmtId="0" fontId="4" fillId="0" borderId="9" xfId="0" applyFont="1" applyBorder="1"/>
    <xf numFmtId="0" fontId="4" fillId="0" borderId="4" xfId="0" applyFont="1" applyBorder="1"/>
    <xf numFmtId="0" fontId="4" fillId="25" borderId="1" xfId="0" applyFont="1" applyFill="1" applyBorder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4" fillId="28" borderId="1" xfId="0" applyFont="1" applyFill="1" applyBorder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/>
    <xf numFmtId="0" fontId="12" fillId="29" borderId="10" xfId="0" applyFont="1" applyFill="1" applyBorder="1"/>
    <xf numFmtId="166" fontId="4" fillId="14" borderId="1" xfId="0" applyNumberFormat="1" applyFont="1" applyFill="1" applyBorder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/>
    <xf numFmtId="0" fontId="4" fillId="31" borderId="1" xfId="0" applyFont="1" applyFill="1" applyBorder="1"/>
    <xf numFmtId="0" fontId="12" fillId="0" borderId="15" xfId="0" applyFont="1" applyBorder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4" fillId="32" borderId="1" xfId="0" applyFont="1" applyFill="1" applyBorder="1"/>
    <xf numFmtId="0" fontId="6" fillId="32" borderId="3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0" fontId="28" fillId="32" borderId="3" xfId="0" applyFont="1" applyFill="1" applyBorder="1" applyAlignment="1">
      <alignment horizontal="center"/>
    </xf>
    <xf numFmtId="0" fontId="29" fillId="3" borderId="3" xfId="0" applyFont="1" applyFill="1" applyBorder="1" applyAlignment="1">
      <alignment horizontal="center" vertical="center"/>
    </xf>
    <xf numFmtId="0" fontId="29" fillId="14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8" t="s">
        <v>0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9" t="s">
        <v>57</v>
      </c>
      <c r="M35" s="77"/>
      <c r="N35" s="359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63</v>
      </c>
      <c r="J36" s="359" t="s">
        <v>64</v>
      </c>
      <c r="K36" s="359" t="s">
        <v>65</v>
      </c>
      <c r="L36" s="359" t="s">
        <v>66</v>
      </c>
      <c r="M36" s="77" t="s">
        <v>67</v>
      </c>
      <c r="N36" s="359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9"/>
      <c r="J37" s="359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8" t="s">
        <v>72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9" t="s">
        <v>57</v>
      </c>
      <c r="M35" s="77"/>
      <c r="N35" s="359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63</v>
      </c>
      <c r="J36" s="359" t="s">
        <v>64</v>
      </c>
      <c r="K36" s="359" t="s">
        <v>65</v>
      </c>
      <c r="L36" s="359" t="s">
        <v>66</v>
      </c>
      <c r="M36" s="77" t="s">
        <v>67</v>
      </c>
      <c r="N36" s="359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9"/>
      <c r="J37" s="359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59" t="s">
        <v>57</v>
      </c>
      <c r="M42" s="77"/>
      <c r="N42" s="359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9" t="s">
        <v>63</v>
      </c>
      <c r="J43" s="359" t="s">
        <v>64</v>
      </c>
      <c r="K43" s="359" t="s">
        <v>65</v>
      </c>
      <c r="L43" s="359" t="s">
        <v>66</v>
      </c>
      <c r="M43" s="77" t="s">
        <v>67</v>
      </c>
      <c r="N43" s="359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59"/>
      <c r="J44" s="359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101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9" t="s">
        <v>57</v>
      </c>
      <c r="M35" s="77"/>
      <c r="N35" s="359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63</v>
      </c>
      <c r="J36" s="359" t="s">
        <v>64</v>
      </c>
      <c r="K36" s="359" t="s">
        <v>65</v>
      </c>
      <c r="L36" s="359" t="s">
        <v>66</v>
      </c>
      <c r="M36" s="77" t="s">
        <v>67</v>
      </c>
      <c r="N36" s="359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9"/>
      <c r="J37" s="359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7" t="s">
        <v>57</v>
      </c>
      <c r="D60" s="367"/>
      <c r="E60" s="367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59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8" t="s">
        <v>115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59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63</v>
      </c>
      <c r="J36" s="359" t="s">
        <v>64</v>
      </c>
      <c r="K36" s="359" t="s">
        <v>65</v>
      </c>
      <c r="L36" s="359" t="s">
        <v>66</v>
      </c>
      <c r="M36" s="77" t="s">
        <v>67</v>
      </c>
      <c r="N36" s="359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8" t="s">
        <v>134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59" t="s">
        <v>57</v>
      </c>
      <c r="M42" s="77"/>
      <c r="N42" s="359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9" t="s">
        <v>63</v>
      </c>
      <c r="J43" s="359" t="s">
        <v>64</v>
      </c>
      <c r="K43" s="359" t="s">
        <v>65</v>
      </c>
      <c r="L43" s="359" t="s">
        <v>66</v>
      </c>
      <c r="M43" s="77" t="s">
        <v>67</v>
      </c>
      <c r="N43" s="359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0">
        <f>COUNTIF($C$4:$C$38,"AZZEDINE")+COUNTIF($H$4:$H$38,"AZZEDINE")+COUNTIF($I$4:$I$38,"AZZEDINE")+COUNTIF($F$4:$F$38,"AZZEDINE")+D72</f>
        <v>3</v>
      </c>
      <c r="F63" s="360">
        <f>COUNTIF($D$4:$D$38,"AZZEDINE")+COUNTIF($H$4:$H$38,"AZZEDINE")+COUNTIF($G$4:$G$38,"AZZEDINE")</f>
        <v>0</v>
      </c>
      <c r="G63" s="360">
        <f>COUNTIF($E$4:$E$38,"AZZEDINE")</f>
        <v>0</v>
      </c>
      <c r="H63" s="360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2929687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8" t="s">
        <v>159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64</v>
      </c>
      <c r="J36" s="359" t="s">
        <v>65</v>
      </c>
      <c r="K36" s="359" t="s">
        <v>66</v>
      </c>
      <c r="L36" s="359" t="s">
        <v>67</v>
      </c>
      <c r="M36" s="359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0">
        <f>COUNTIF($C$4:$C$31,"BOULAT")+COUNTIF($F$4:$F$31,"BOULAT")+COUNTIF($I$4:$I$31,"BOULAT")+COUNTIF($K$4:$K$31,"BOULAT")</f>
        <v>4</v>
      </c>
      <c r="F37" s="360">
        <f>COUNTIF($D$4:$D$31,"BOULAT")+COUNTIF($G$4:$G$31,"BOULAT")</f>
        <v>3</v>
      </c>
      <c r="G37" s="360">
        <f>COUNTIF($E$4:$E$31,"BOULAT")</f>
        <v>0</v>
      </c>
      <c r="H37" s="161"/>
      <c r="I37" s="360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0">
        <f>COUNTIF($C$4:$C$31,"BRUGIROUX")+COUNTIF($I$4:$I$31,"BRUGIROUX")+COUNTIF($F$4:$F$31,"BRUGIROUX")+COUNTIF($K$4:$K$31,"BRUGIROUX")</f>
        <v>5</v>
      </c>
      <c r="F38" s="360">
        <f>COUNTIF($D$4:$D$31,"BRUGIROUX")+COUNTIF($G$4:$G$31,"BRUGIROUX")</f>
        <v>8</v>
      </c>
      <c r="G38" s="360">
        <f>COUNTIF($E$4:$E$31,"BRUGIROUX")</f>
        <v>1</v>
      </c>
      <c r="H38" s="161">
        <f>COUNTIF($J$4:$J$31,"BRUGIROUX")</f>
        <v>0</v>
      </c>
      <c r="I38" s="360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0">
        <f>COUNTIF($C$4:$C$31,"CAUVY")+COUNTIF($F$4:$F$31,"CAUVY")+COUNTIF($I$4:$I$31,"CAUVY")+COUNTIF($K$4:$K$31,"CAUVY")</f>
        <v>4</v>
      </c>
      <c r="F39" s="360">
        <f>COUNTIF($D$4:$D$31,"CAUVY")+COUNTIF($G$4:$G$31,"CAUVY")</f>
        <v>0</v>
      </c>
      <c r="G39" s="360">
        <f>COUNTIF($E$4:$E$31,"CAUVY")</f>
        <v>1</v>
      </c>
      <c r="H39" s="360"/>
      <c r="I39" s="360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0">
        <f>COUNTIF($C$4:$C$31,"FONTAINE")+COUNTIF($I$4:$I$31,"FONTAINE")+COUNTIF($F$4:$F$31,"FONTAINE")+COUNTIF($K$4:$K$31,"FONTAINE")</f>
        <v>3</v>
      </c>
      <c r="F40" s="360">
        <f>COUNTIF($D$4:$D$31,"FONTAINE")+COUNTIF($G$4:$G$31,"FONTAINE")</f>
        <v>2</v>
      </c>
      <c r="G40" s="360">
        <f>COUNTIF($E$4:$E$31,"FONTAINE")</f>
        <v>0</v>
      </c>
      <c r="H40" s="161"/>
      <c r="I40" s="360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0">
        <f>COUNTIF($C$4:$C$31,"KANTCHE")+COUNTIF($I$4:$I$31,"KANTCHE")+COUNTIF($F$4:$F$31,"KANTCHE")+COUNTIF($K$4:$K$31,"KANTCHE")</f>
        <v>4</v>
      </c>
      <c r="F41" s="360">
        <f>COUNTIF($D$4:$D$31,"KANTCHE")+COUNTIF($G$4:$G$31,"KANTCHE")</f>
        <v>3</v>
      </c>
      <c r="G41" s="360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0">
        <f>COUNTIF($C$4:$C$31,"ORIOLI")+COUNTIF($I$4:$I$31,"ORIOLI")+COUNTIF($F$4:$F$31,"ORIOLI")+COUNTIF($K$4:$K$31,"ORIOLI")</f>
        <v>5</v>
      </c>
      <c r="F42" s="360">
        <f>COUNTIF($D$4:$D$31,"ORIOLI")+COUNTIF($G$4:$G$31,"ORIOLI")</f>
        <v>5</v>
      </c>
      <c r="G42" s="360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0">
        <f>COUNTIF($C$4:$C$31,"TKATCHOUK")+COUNTIF($I$4:$I$31,"TKATCHOUK")+COUNTIF($F$4:$F$31,"TKATCHOUK")+COUNTIF($K$4:$K$31,"TKATCHOUK")</f>
        <v>0</v>
      </c>
      <c r="F43" s="360">
        <f>COUNTIF($D$4:$D$31,"TKATCHOUK")+COUNTIF($G$4:$G$31,"TKATCHOUK")</f>
        <v>0</v>
      </c>
      <c r="G43" s="360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0">
        <f>COUNTIF($C$4:$C$31,"TORREGROSSA")+COUNTIF($I$4:$I$31,"TORREGROSSA")+COUNTIF($F$4:$F$31,"TORREGROSSA")+COUNTIF($K$4:$K$31,"TORREGROSSA")</f>
        <v>4</v>
      </c>
      <c r="F44" s="360">
        <f>COUNTIF($D$4:$D$31,"TORREGROSSA")+COUNTIF($G$4:$G$31,"TORREGROSSA")</f>
        <v>4</v>
      </c>
      <c r="G44" s="360">
        <f>COUNTIF($E$4:$E$31,"TORREGROSSA")</f>
        <v>0</v>
      </c>
      <c r="H44" s="360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0">
        <f>COUNTIF($C$4:$C$31,"BALLOT")+COUNTIF($F$4:$F$31,"BALLOT")+COUNTIF($I$4:$I$31,"BALLOT")+COUNTIF($K$4:$K$31,"BALLOT")</f>
        <v>2</v>
      </c>
      <c r="F45" s="360">
        <f>COUNTIF($D$4:$D$31,"BALLOT")+COUNTIF($G$4:$G$31,"BALLOT")</f>
        <v>0</v>
      </c>
      <c r="G45" s="360">
        <f>COUNTIF($E$4:$E$31,"BALLOT")</f>
        <v>3</v>
      </c>
      <c r="H45" s="360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0">
        <f>COUNTIF($C$4:$C$31,"MOREL")+COUNTIF($I$4:$I$31,"MOREL")+COUNTIF($F$4:$F$31,"MOREL")+COUNTIF($K$4:$K$31,"MOREL")</f>
        <v>5</v>
      </c>
      <c r="F46" s="360">
        <f>COUNTIF($D$4:$D$31,"MOREL")+COUNTIF($G$4:$G$31,"MOREL")</f>
        <v>0</v>
      </c>
      <c r="G46" s="360">
        <f>COUNTIF($E$4:$E$31,"MOREL")</f>
        <v>0</v>
      </c>
      <c r="H46" s="360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0">
        <f>COUNTIF($C$4:$C$31,"RACHIDI")+COUNTIF($I$4:$I$31,"RACHIDI")+COUNTIF($F$4:$F$31,"RACHIDI")+COUNTIF($K$4:$K$31,"RACHIDI")</f>
        <v>1</v>
      </c>
      <c r="F47" s="360">
        <f>COUNTIF($D$4:$D$31,"RACHIDI")+COUNTIF($G$4:$G$31,"RACHIDI")</f>
        <v>1</v>
      </c>
      <c r="G47" s="360">
        <f>COUNTIF($E$4:$E$31,"RACHIDI")</f>
        <v>0</v>
      </c>
      <c r="H47" s="360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0">
        <f>COUNTIF($C$4:$C$31,"ZEBICHE")+COUNTIF($F$4:$F$31,"ZEBICHE")+COUNTIF($I$4:$I$31,"ZEBICHE")+COUNTIF($K$4:$K$31,"ZEBICHE")</f>
        <v>9</v>
      </c>
      <c r="F48" s="360">
        <f>COUNTIF($D$4:$D$31,"ZEBICHE")+COUNTIF($G$4:$G$31,"ZEBICHE")</f>
        <v>9</v>
      </c>
      <c r="G48" s="360">
        <f>COUNTIF($E$4:$E$31,"ZEBICHE")</f>
        <v>0</v>
      </c>
      <c r="H48" s="360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0">
        <f>COUNTIF($C$4:$C$31,"HACHIMI")+COUNTIF($F$4:$F$31,"HACHIMI")+COUNTIF($H$4:$H$31,"HACHIMI")+COUNTIF($I$4:$I$31,"HACHIMI")+D58+COUNTIF($K$4:$K$31,"HACHIMI")</f>
        <v>8</v>
      </c>
      <c r="F49" s="360">
        <f>COUNTIF($D$4:$D$31,"HACHIMI")+COUNTIF($H$4:$H$31,"HACHIMI")+COUNTIF($G$4:$G$31,"HACHIMI")</f>
        <v>7</v>
      </c>
      <c r="G49" s="360">
        <f>COUNTIF($E$4:$E$31,"HACHIMI")</f>
        <v>2</v>
      </c>
      <c r="H49" s="360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0">
        <f>COUNTIF($C$4:$C$31,"BIENDOUX")+COUNTIF($H$4:$H$31,"BIENDOUX")+COUNTIF($I$4:$I$31,"BIENDOUX")+COUNTIF($F$4:$F$31,"BIENDOUX")+D59+COUNTIF($K$4:$K$31,"BIENDOUX")</f>
        <v>14</v>
      </c>
      <c r="F50" s="360">
        <v>4</v>
      </c>
      <c r="G50" s="360">
        <f>COUNTIF($E$4:$E$31,"BIENDOUX")</f>
        <v>0</v>
      </c>
      <c r="H50" s="360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0">
        <f>COUNTIF($C$4:$C$31,"AFZAL")+COUNTIF($H$4:$H$31,"AFZAL")+COUNTIF($I$4:$I$31,"AFZAL")+COUNTIF($F$4:$F$31,"AFZAL")+D60+COUNTIF($K$4:$K$31,"AFZAL")</f>
        <v>8</v>
      </c>
      <c r="F51" s="360">
        <v>9</v>
      </c>
      <c r="G51" s="360">
        <f>COUNTIF($E$4:$E$31,"AFZAL")</f>
        <v>1</v>
      </c>
      <c r="H51" s="360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0">
        <f>COUNTIF($C$4:$C$31,"IBRAHIM")+COUNTIF($H$4:$H$31,"IBRAHIM")+COUNTIF($I$4:$I$31,"IBRAHIM")+COUNTIF($K$4:$K$31,"IBRAHIM")+COUNTIF($F$4:$F$31,"IBRAHIM")+D61</f>
        <v>8</v>
      </c>
      <c r="F52" s="360">
        <v>6</v>
      </c>
      <c r="G52" s="360">
        <f>COUNTIF($E$4:$E$31,"IBRAHIM")</f>
        <v>3</v>
      </c>
      <c r="H52" s="360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0">
        <f>COUNTIF($C$4:$C$31,"IMAD")+COUNTIF($H$4:$H$31,"IMAD")+COUNTIF($I$4:$I$31,"IMAD")+COUNTIF($F$4:$F$31,"IMAD")+D62+COUNTIF($K$4:$K$31,"IMAD")</f>
        <v>6</v>
      </c>
      <c r="F53" s="360">
        <f>COUNTIF($D$4:$D$31,"IMAD")+COUNTIF($H$4:$H$31,"IMAD")+COUNTIF($G$4:$G$31,"IMAD")</f>
        <v>5</v>
      </c>
      <c r="G53" s="360">
        <f>COUNTIF($E$4:$E$31,"IMAD")</f>
        <v>1</v>
      </c>
      <c r="H53" s="360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0">
        <f>COUNTIF($C$4:$C$31,"RADO")+COUNTIF($H$4:$H$31,"RADO")+COUNTIF($I$4:$I$31,"RADO")+COUNTIF($F$4:$F$31,"RADO")+D63+COUNTIF($K$4:$K$31,"RADO")</f>
        <v>14</v>
      </c>
      <c r="F54" s="360">
        <f>COUNTIF($D$4:$D$31,"RADO")+COUNTIF($H$4:$H$31,"RADO")+COUNTIF($G$4:$G$31,"RADO")</f>
        <v>2</v>
      </c>
      <c r="G54" s="360">
        <f>COUNTIF($E$4:$E$31,"RADO")</f>
        <v>2</v>
      </c>
      <c r="H54" s="360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0">
        <f>COUNTIF($C$4:$C$31,"TODY")+COUNTIF($H$4:$H$31,"TODY")+COUNTIF($I$4:$I$31,"TODY")+COUNTIF($F$4:$F$31,"TODY")+D64+COUNTIF($K$4:$K$31,"TODY")</f>
        <v>11</v>
      </c>
      <c r="F55" s="360">
        <f>COUNTIF($D$4:$D$31,"TODY")+COUNTIF($H$4:$H$31,"TODY")+COUNTIF($G$4:$G$31,"TODY")</f>
        <v>2</v>
      </c>
      <c r="G55" s="360">
        <f>COUNTIF($E$4:$E$31,"TODY")</f>
        <v>2</v>
      </c>
      <c r="H55" s="360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0">
        <f>COUNTIF($C$4:$C$31,"RODRIGUE")+COUNTIF($H$4:$H$31,"RODRIGUE")+COUNTIF($I$4:$I$31,"RODRIGUE")+COUNTIF($F$4:$F$31,"RODRIGUE")+D65+COUNTIF($K$4:$K$31,"RODRIGUE")</f>
        <v>6</v>
      </c>
      <c r="F56" s="360">
        <f>COUNTIF($D$4:$D$31,"RODRIGUE")+COUNTIF($H$4:$H$31,"RODRIGUE")+COUNTIF($G$4:$G$31,"RODRIGUE")</f>
        <v>3</v>
      </c>
      <c r="G56" s="360">
        <f>COUNTIF($E$4:$E$31,"RODRIGUE")</f>
        <v>2</v>
      </c>
      <c r="H56" s="360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customWidth="1"/>
    <col min="14" max="14" width="10.02734375" customWidth="1"/>
    <col min="15" max="15" width="8.01953125" customWidth="1"/>
    <col min="16" max="18" width="10.6171875" style="1" customWidth="1"/>
    <col min="19" max="16384" width="17.10546875" style="1"/>
  </cols>
  <sheetData>
    <row r="1" spans="1:20" ht="15" customHeight="1" x14ac:dyDescent="0.15">
      <c r="A1" s="368" t="s">
        <v>174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</row>
    <row r="3" spans="1:20" s="244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5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6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7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8" t="s">
        <v>29</v>
      </c>
      <c r="I10" s="132" t="s">
        <v>32</v>
      </c>
      <c r="J10" s="138"/>
      <c r="K10" s="43"/>
      <c r="L10" s="247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8" t="s">
        <v>178</v>
      </c>
      <c r="I11" s="51" t="s">
        <v>168</v>
      </c>
      <c r="J11" s="33"/>
      <c r="K11" s="33" t="s">
        <v>20</v>
      </c>
      <c r="L11" s="249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49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49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0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49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49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1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8" t="s">
        <v>48</v>
      </c>
      <c r="I17" s="132" t="s">
        <v>32</v>
      </c>
      <c r="J17" s="138"/>
      <c r="K17" s="43"/>
      <c r="L17" s="251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2" t="s">
        <v>22</v>
      </c>
      <c r="G18" s="322" t="s">
        <v>22</v>
      </c>
      <c r="H18" s="245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2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3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2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8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2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26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4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26" t="s">
        <v>168</v>
      </c>
      <c r="D28" s="32" t="s">
        <v>28</v>
      </c>
      <c r="E28" s="51" t="s">
        <v>102</v>
      </c>
      <c r="F28" s="322" t="s">
        <v>22</v>
      </c>
      <c r="G28" s="322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184"/>
      <c r="K29" s="326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3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8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8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4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2" t="s">
        <v>22</v>
      </c>
      <c r="H36" s="36"/>
      <c r="I36" s="51" t="s">
        <v>102</v>
      </c>
      <c r="J36" s="52"/>
      <c r="K36" s="322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8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4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1"/>
      <c r="O40" s="371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59" t="s">
        <v>64</v>
      </c>
      <c r="J41" s="359" t="s">
        <v>65</v>
      </c>
      <c r="K41" s="77" t="s">
        <v>66</v>
      </c>
      <c r="L41" s="359" t="s">
        <v>67</v>
      </c>
      <c r="M41" s="359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0">
        <f>COUNTIF($C$4:$C$38,"BOULAT")+COUNTIF($F$4:$F$38,"BOULAT")+COUNTIF($I$4:$I$38,"BOULAT")+COUNTIF($K$4:$K$38,"BOULAT")</f>
        <v>8</v>
      </c>
      <c r="F42" s="360">
        <f>COUNTIF($D$4:$D$38,"BOULAT")+COUNTIF($G$4:$G$38,"BOULAT")</f>
        <v>6</v>
      </c>
      <c r="G42" s="360">
        <f>COUNTIF($E$4:$E$38,"BOULAT")</f>
        <v>0</v>
      </c>
      <c r="H42" s="161"/>
      <c r="I42" s="360">
        <v>5</v>
      </c>
      <c r="J42" s="162">
        <f t="shared" ref="J42:J61" si="0">D42*((9*$D$40)-($F$40*9/5))-(D42*(I42*1.8))</f>
        <v>36</v>
      </c>
      <c r="K42" s="255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0">
        <f>COUNTIF($C$4:$C$38,"BRUGIROUX")+COUNTIF($F$4:$F$38,"BRUGIROUX")+COUNTIF($I$4:$I$38,"BRUGIROUX")+COUNTIF($K$4:$K$38,"BRUGIROUX")</f>
        <v>7</v>
      </c>
      <c r="F43" s="360">
        <f>COUNTIF($D$4:$D$38,"BRUGIROUX")+COUNTIF($G$4:$G$38,"BRUGIROUX")</f>
        <v>10</v>
      </c>
      <c r="G43" s="360">
        <f>COUNTIF($E$4:$E$38,"BRUGIROUX")</f>
        <v>0</v>
      </c>
      <c r="H43" s="161">
        <v>1</v>
      </c>
      <c r="I43" s="360">
        <v>2</v>
      </c>
      <c r="J43" s="162">
        <f t="shared" si="0"/>
        <v>41.4</v>
      </c>
      <c r="K43" s="255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0">
        <f>COUNTIF($C$4:$C$38,"CAUVY")+COUNTIF($F$4:$F$38,"CAUVY")+COUNTIF($I$4:$I$38,"CAUVY")+COUNTIF($K$4:$K$38,"CAUVY")</f>
        <v>2</v>
      </c>
      <c r="F44" s="360">
        <f>COUNTIF($D$4:$D$38,"CAUVY")+COUNTIF($G$4:$G$38,"CAUVY")</f>
        <v>0</v>
      </c>
      <c r="G44" s="360">
        <f>COUNTIF($E$4:$E$38,"CAUVY")</f>
        <v>1</v>
      </c>
      <c r="H44" s="360"/>
      <c r="I44" s="360">
        <v>5</v>
      </c>
      <c r="J44" s="162">
        <f t="shared" si="0"/>
        <v>18</v>
      </c>
      <c r="K44" s="255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0">
        <f>COUNTIF($C$4:$C$38,"FONTAINE")+COUNTIF($F$4:$F$38,"FONTAINE")+COUNTIF($I$4:$I$38,"FONTAINE")+COUNTIF($K$4:$K$38,"FONTAINE")</f>
        <v>5</v>
      </c>
      <c r="F45" s="360">
        <f>COUNTIF($D$4:$D$38,"FONTAINE")+COUNTIF($G$4:$G$38,"FONTAINE")</f>
        <v>4</v>
      </c>
      <c r="G45" s="360">
        <f>COUNTIF($E$4:$E$38,"FONTAINE")</f>
        <v>1</v>
      </c>
      <c r="H45" s="161"/>
      <c r="I45" s="360">
        <v>6.4</v>
      </c>
      <c r="J45" s="162">
        <f t="shared" si="0"/>
        <v>26.783999999999999</v>
      </c>
      <c r="K45" s="255">
        <f>D45*((39*$D$40)-($F$40*39/5))-(I45*7.8)</f>
        <v>106.08</v>
      </c>
      <c r="L45" s="162">
        <f t="shared" ref="L45:L60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0">
        <f>COUNTIF($C$4:$C$38,"KANTCHE")+COUNTIF($F$4:$F$38,"KANTCHE")+COUNTIF($I$4:$I$38,"KANTCHE")+COUNTIF($K$4:$K$38,"KANTCHE")</f>
        <v>5</v>
      </c>
      <c r="F46" s="360">
        <f>COUNTIF($D$4:$D$38,"KANTCHE")+COUNTIF($G$4:$G$38,"KANTCHE")</f>
        <v>1</v>
      </c>
      <c r="G46" s="360">
        <f>COUNTIF($E$4:$E$38,"KANTCHE")</f>
        <v>1</v>
      </c>
      <c r="H46" s="162"/>
      <c r="I46" s="162">
        <v>6.6</v>
      </c>
      <c r="J46" s="162">
        <f t="shared" si="0"/>
        <v>19.872</v>
      </c>
      <c r="K46" s="255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0">
        <f>COUNTIF($C$4:$C$38,"ORIOLI")+COUNTIF($F$4:$F$38,"ORIOLI")+COUNTIF($I$4:$I$38,"ORIOLI")+COUNTIF($K$4:$K$38,"ORIOLI")</f>
        <v>7</v>
      </c>
      <c r="F47" s="360">
        <f>COUNTIF($D$4:$D$38,"ORIOLI")+COUNTIF($G$4:$G$38,"ORIOLI")</f>
        <v>7</v>
      </c>
      <c r="G47" s="360">
        <f>COUNTIF($E$4:$E$38,"ORIOLI")</f>
        <v>0</v>
      </c>
      <c r="H47" s="162"/>
      <c r="I47" s="162"/>
      <c r="J47" s="162">
        <f t="shared" si="0"/>
        <v>45</v>
      </c>
      <c r="K47" s="255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0">
        <f>COUNTIF($C$4:$C$38,"TKATCHOUK")+COUNTIF($F$4:$F$38,"TKATCHOUK")+COUNTIF($I$4:$I$38,"TKATCHOUK")+COUNTIF($K$4:$K$38,"TKATCHOUK")</f>
        <v>0</v>
      </c>
      <c r="F48" s="360">
        <f>COUNTIF($D$4:$D$38,"TKATCHOUK")+COUNTIF($G$4:$G$38,"TKATCHOUK")</f>
        <v>0</v>
      </c>
      <c r="G48" s="360">
        <f>COUNTIF($E$4:$E$38,"TKATCHOUK")</f>
        <v>10</v>
      </c>
      <c r="H48" s="162"/>
      <c r="I48" s="162"/>
      <c r="J48" s="162">
        <f t="shared" si="0"/>
        <v>22.5</v>
      </c>
      <c r="K48" s="255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0">
        <f>COUNTIF($C$4:$C$38,"TORREGROSSA")+COUNTIF($F$4:$F$38,"TORREGROSSA")+COUNTIF($K$4:$K$38,"TORREGROSSA")+COUNTIF($I$4:$I$38,"TORREGROSSA")</f>
        <v>10</v>
      </c>
      <c r="F49" s="360">
        <f>COUNTIF($D$4:$D$38,"TORREGROSSA")+COUNTIF($G$4:$G$38,"TORREGROSSA")</f>
        <v>3</v>
      </c>
      <c r="G49" s="360">
        <f>COUNTIF($E$4:$E$38,"TORREGROSSA")</f>
        <v>0</v>
      </c>
      <c r="H49" s="360">
        <f>COUNTIF($J$4:$J$38,"TORREGROSSA")</f>
        <v>2</v>
      </c>
      <c r="I49" s="162">
        <v>6</v>
      </c>
      <c r="J49" s="162">
        <f t="shared" si="0"/>
        <v>34.200000000000003</v>
      </c>
      <c r="K49" s="255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0">
        <f>COUNTIF($C$4:$C$38,"BALLOT")+COUNTIF($F$4:$F$38,"BALLOT")+COUNTIF($I$4:$I$38,"BALLOT")+COUNTIF($K$4:$K$38,"BALLOT")</f>
        <v>1</v>
      </c>
      <c r="F50" s="360">
        <f>COUNTIF($D$4:$D$38,"BALLOT")+COUNTIF($G$4:$G$38,"BALLOT")</f>
        <v>0</v>
      </c>
      <c r="G50" s="360">
        <f>COUNTIF($E$4:$E$38,"BALLOT")</f>
        <v>2</v>
      </c>
      <c r="H50" s="360"/>
      <c r="I50" s="162">
        <v>2</v>
      </c>
      <c r="J50" s="162">
        <f t="shared" si="0"/>
        <v>16.559999999999999</v>
      </c>
      <c r="K50" s="255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0">
        <f>COUNTIF($C$4:$C$38,"MOREL")+COUNTIF($F$4:$F$38,"MOREL")+COUNTIF($I$4:$I$38,"MOREL")+COUNTIF($K$4:$K$38,"MOREL")</f>
        <v>8</v>
      </c>
      <c r="F51" s="360">
        <f>COUNTIF($D$4:$D$38,"MOREL")+COUNTIF($G$4:$G$38,"MOREL")</f>
        <v>0</v>
      </c>
      <c r="G51" s="360">
        <f>COUNTIF($E$4:$E$38,"MOREL")</f>
        <v>0</v>
      </c>
      <c r="H51" s="360"/>
      <c r="I51" s="162"/>
      <c r="J51" s="162">
        <f t="shared" si="0"/>
        <v>18</v>
      </c>
      <c r="K51" s="255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0">
        <f>COUNTIF($C$4:$C$38,"RACHIDI")+COUNTIF($F$4:$F$38,"RACHIDI")+COUNTIF($I$4:$I$38,"RACHIDI")+COUNTIF($K$4:$K$38,"RACHIDI")</f>
        <v>6</v>
      </c>
      <c r="F52" s="360">
        <f>COUNTIF($D$4:$D$38,"RACHIDI")+COUNTIF($G$4:$G$38,"RACHIDI")</f>
        <v>8</v>
      </c>
      <c r="G52" s="360">
        <f>COUNTIF($E$4:$E$38,"RACHIDI")</f>
        <v>0</v>
      </c>
      <c r="H52" s="360"/>
      <c r="I52" s="162"/>
      <c r="J52" s="162">
        <f t="shared" si="0"/>
        <v>36</v>
      </c>
      <c r="K52" s="255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0">
        <f>COUNTIF($C$4:$C$38,"ZEBICHE")+COUNTIF($F$4:$F$38,"ZEBICHE")+COUNTIF($I$4:$I$38,"ZEBICHE")+COUNTIF($K$4:$K$38,"ZEBICHE")</f>
        <v>9</v>
      </c>
      <c r="F53" s="360">
        <f>COUNTIF($D$4:$D$38,"ZEBICHE")+COUNTIF($G$4:$G$38,"ZEBICHE")</f>
        <v>9</v>
      </c>
      <c r="G53" s="360">
        <f>COUNTIF($E$4:$E$38,"ZEBICHE")</f>
        <v>0</v>
      </c>
      <c r="H53" s="360"/>
      <c r="I53" s="162"/>
      <c r="J53" s="162">
        <f t="shared" si="0"/>
        <v>45</v>
      </c>
      <c r="K53" s="255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0">
        <f>COUNTIF($C$4:$C$38,"HACHIMI")+COUNTIF($F$4:$F$38,"HACHIMI")+COUNTIF($H$4:$H$38,"HACHIMI")+COUNTIF($I$4:$I$38,"HACHIMI")+H65+COUNTIF($K$4:$K$38,"HACHIMI")</f>
        <v>5</v>
      </c>
      <c r="F54" s="360">
        <v>5</v>
      </c>
      <c r="G54" s="360">
        <f>COUNTIF($E$4:$E$38,"HACHIMI")</f>
        <v>0</v>
      </c>
      <c r="H54" s="360"/>
      <c r="I54" s="162">
        <v>10</v>
      </c>
      <c r="J54" s="162">
        <f t="shared" si="0"/>
        <v>27</v>
      </c>
      <c r="K54" s="255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0">
        <f>COUNTIF($C$4:$C$38,"BIENDOUX")+COUNTIF($F$4:$F$38,"BIENDOUX")+COUNTIF($H$4:$H$38,"BIENDOUX")+COUNTIF($I$4:$I$38,"BIENDOUX")+H66+COUNTIF($K$4:$K$38,"BIENDOUX")</f>
        <v>14</v>
      </c>
      <c r="F55" s="360">
        <v>5</v>
      </c>
      <c r="G55" s="360">
        <f>COUNTIF($E$4:$E$38,"BIENDOUX")</f>
        <v>1</v>
      </c>
      <c r="H55" s="360"/>
      <c r="I55" s="162">
        <v>3</v>
      </c>
      <c r="J55" s="162">
        <f t="shared" si="0"/>
        <v>39.6</v>
      </c>
      <c r="K55" s="255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6">
        <f>COUNTIF($C$4:$C$38,"AFZAL")+COUNTIF($F$4:$F$38,"AFZAL")+COUNTIF($H$4:$H$38,"AFZAL")+COUNTIF($I$4:$I$38,"AFZAL")+H67+COUNTIF($K$4:$K$38,"AFZAL")</f>
        <v>10</v>
      </c>
      <c r="F56" s="360">
        <v>9</v>
      </c>
      <c r="G56" s="360">
        <f>COUNTIF($E$4:$E$38,"AFZAL")</f>
        <v>1</v>
      </c>
      <c r="H56" s="360"/>
      <c r="I56" s="162"/>
      <c r="J56" s="162">
        <f t="shared" si="0"/>
        <v>45</v>
      </c>
      <c r="K56" s="255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0">
        <v>8</v>
      </c>
      <c r="F57" s="360">
        <v>9</v>
      </c>
      <c r="G57" s="360">
        <f>COUNTIF($E$4:$E$38,"IBRAHIM")</f>
        <v>3</v>
      </c>
      <c r="H57" s="360"/>
      <c r="I57" s="257"/>
      <c r="J57" s="257">
        <f t="shared" si="0"/>
        <v>45</v>
      </c>
      <c r="K57" s="255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7" t="s">
        <v>23</v>
      </c>
      <c r="D58" s="258">
        <v>1</v>
      </c>
      <c r="E58" s="259">
        <f>COUNTIF($C$4:$C$38,"IMAD")+COUNTIF($F$4:$F$38,"IMAD")+COUNTIF($H$4:$H$38,"IMAD")+COUNTIF($I$4:$I$38,"IMAD")+H69+COUNTIF($K$4:$K$38,"IMAD")</f>
        <v>2</v>
      </c>
      <c r="F58" s="360">
        <f>COUNTIF($D$4:$D$38,"IMAD")+COUNTIF($H$4:$H$38,"IMAD")+COUNTIF($G$4:$G$38,"IMAD")</f>
        <v>3</v>
      </c>
      <c r="G58" s="360">
        <f>COUNTIF($E$4:$E$38,"IMAD")</f>
        <v>1</v>
      </c>
      <c r="H58" s="360"/>
      <c r="I58" s="162">
        <v>13</v>
      </c>
      <c r="J58" s="162">
        <f t="shared" si="0"/>
        <v>21.599999999999998</v>
      </c>
      <c r="K58" s="255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0">
        <v>1</v>
      </c>
      <c r="E59" s="360">
        <f>COUNTIF($C$4:$C$38,"RADO")+COUNTIF($F$4:$F$38,"RADO")+COUNTIF($H$4:$H$38,"RADO")+COUNTIF($I$4:$I$38,"RADO")+H70+COUNTIF($K$4:$K$38,"RADO")</f>
        <v>18</v>
      </c>
      <c r="F59" s="261">
        <f>COUNTIF($D$4:$D$38,"RADO")+COUNTIF($H$4:$H$38,"RADO")+COUNTIF($G$4:$G$38,"RADO")</f>
        <v>3</v>
      </c>
      <c r="G59" s="360">
        <f>COUNTIF($E$4:$E$38,"RADO")</f>
        <v>4</v>
      </c>
      <c r="H59" s="262"/>
      <c r="I59" s="162"/>
      <c r="J59" s="162">
        <f t="shared" si="0"/>
        <v>45</v>
      </c>
      <c r="K59" s="255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0">
        <v>1</v>
      </c>
      <c r="E60" s="263">
        <f>COUNTIF($C$4:$C$38,"TODY")+COUNTIF($F$4:$F$38,"TODY")+COUNTIF($H$4:$H$38,"TODY")+COUNTIF($I$4:$I$38,"TODY")+H71+COUNTIF($K$4:$K$38,"TODY")</f>
        <v>13</v>
      </c>
      <c r="F60" s="261">
        <f>COUNTIF($D$4:$D$38,"TODY")+COUNTIF($H$4:$H$38,"TODY")+COUNTIF($G$4:$G$38,"TODY")</f>
        <v>3</v>
      </c>
      <c r="G60" s="360">
        <f>COUNTIF($E$4:$E$38,"TODY")</f>
        <v>4</v>
      </c>
      <c r="H60" s="262"/>
      <c r="I60" s="162"/>
      <c r="J60" s="162">
        <f t="shared" si="0"/>
        <v>45</v>
      </c>
      <c r="K60" s="255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0">
        <v>1</v>
      </c>
      <c r="E61" s="263">
        <f>COUNTIF($C$4:$C$38,"RODRIGUE")+COUNTIF($F$4:$F$38,"RODRIGUE")+COUNTIF($H$4:$H$38,"RODRIGUE")+COUNTIF($I$4:$I$38,"RODRIGUE")+H72+COUNTIF($K$4:$K$38,"RODRIGUE")</f>
        <v>10</v>
      </c>
      <c r="F61" s="261">
        <f>COUNTIF($D$4:$D$38,"RODRIGUE")+COUNTIF($H$4:$H$38,"RODRIGUE")+COUNTIF($G$4:$G$38,"RODRIGUE")</f>
        <v>3</v>
      </c>
      <c r="G61" s="360">
        <f>COUNTIF($E$4:$E$38,"RODRIGUE")</f>
        <v>5</v>
      </c>
      <c r="H61" s="262"/>
      <c r="I61" s="162"/>
      <c r="J61" s="162">
        <f t="shared" si="0"/>
        <v>45</v>
      </c>
      <c r="K61" s="255">
        <f t="shared" si="1"/>
        <v>195</v>
      </c>
      <c r="L61" s="336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4"/>
      <c r="E62" s="72"/>
      <c r="F62" s="72"/>
      <c r="G62" s="72"/>
      <c r="H62" s="72"/>
      <c r="I62" s="3"/>
      <c r="J62" s="3"/>
      <c r="K62" s="265"/>
      <c r="L62" s="3"/>
      <c r="M62" s="3"/>
      <c r="N62" s="3"/>
      <c r="O62" s="72"/>
    </row>
    <row r="63" spans="1:15" ht="12" customHeight="1" x14ac:dyDescent="0.15">
      <c r="A63" s="3"/>
      <c r="B63" s="73"/>
      <c r="C63" s="367" t="s">
        <v>57</v>
      </c>
      <c r="D63" s="367"/>
      <c r="E63" s="367"/>
      <c r="F63" s="72"/>
      <c r="G63" s="72"/>
      <c r="I63" s="3"/>
      <c r="J63" s="3"/>
      <c r="K63" s="266"/>
      <c r="L63" s="3"/>
      <c r="M63" s="3"/>
      <c r="N63" s="3"/>
      <c r="O63" s="72"/>
    </row>
    <row r="64" spans="1:15" ht="12" customHeight="1" x14ac:dyDescent="0.15">
      <c r="A64" s="3"/>
      <c r="B64" s="73"/>
      <c r="C64" s="267" t="s">
        <v>66</v>
      </c>
      <c r="D64" s="268" t="s">
        <v>67</v>
      </c>
      <c r="E64" s="269" t="s">
        <v>68</v>
      </c>
      <c r="F64" s="72"/>
      <c r="G64" s="98" t="s">
        <v>71</v>
      </c>
      <c r="H64" s="98"/>
      <c r="I64" s="270"/>
      <c r="J64" s="270"/>
      <c r="K64" s="6"/>
      <c r="L64" s="3"/>
      <c r="M64" s="3"/>
      <c r="N64" s="3"/>
      <c r="O64" s="3"/>
    </row>
    <row r="65" spans="1:18" ht="12" customHeight="1" x14ac:dyDescent="0.15">
      <c r="A65" s="3"/>
      <c r="B65" s="332" t="s">
        <v>38</v>
      </c>
      <c r="C65" s="333">
        <f>MAI!L37+JUIN!L44+JUILLET!K37+AOUT!K42</f>
        <v>553.79999999999995</v>
      </c>
      <c r="D65" s="331">
        <f>MAI!M37+JUIN!M44+JUILLET!L37+AOUT!L42</f>
        <v>558</v>
      </c>
      <c r="E65" s="334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35" t="s">
        <v>36</v>
      </c>
      <c r="C66" s="331">
        <f>MAI!L38+JUIN!L45+JUILLET!K38+AOUT!K43</f>
        <v>631.79999999999995</v>
      </c>
      <c r="D66" s="331">
        <f>MAI!M38+JUIN!M45+JUILLET!L38+AOUT!L43</f>
        <v>830</v>
      </c>
      <c r="E66" s="330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2" t="s">
        <v>21</v>
      </c>
      <c r="C67" s="331">
        <f>MAI!L39+JUIN!L46+JUILLET!K39+AOUT!K44</f>
        <v>245.7</v>
      </c>
      <c r="D67" s="331">
        <f>MAI!M39+JUIN!M46+JUILLET!L39+AOUT!L44</f>
        <v>254</v>
      </c>
      <c r="E67" s="330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2" t="s">
        <v>31</v>
      </c>
      <c r="C68" s="331">
        <f>MAI!L40+JUIN!L47+JUILLET!K40+AOUT!K45</f>
        <v>424.32</v>
      </c>
      <c r="D68" s="331">
        <f>MAI!M40+JUIN!M47+JUILLET!L40+AOUT!L45</f>
        <v>486</v>
      </c>
      <c r="E68" s="330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0" t="s">
        <v>28</v>
      </c>
      <c r="C69" s="331">
        <f>MAI!L41+JUIN!L48+JUILLET!K41+AOUT!K46</f>
        <v>327.60000000000002</v>
      </c>
      <c r="D69" s="331">
        <f>MAI!M41+JUIN!M48+JUILLET!L41+AOUT!L46</f>
        <v>422</v>
      </c>
      <c r="E69" s="330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0" t="s">
        <v>42</v>
      </c>
      <c r="C70" s="331">
        <f>MAI!L42+JUIN!L49+JUILLET!K42+AOUT!K47</f>
        <v>514.79999999999995</v>
      </c>
      <c r="D70" s="331">
        <f>MAI!M42+JUIN!M49+JUILLET!L42+AOUT!L47</f>
        <v>542</v>
      </c>
      <c r="E70" s="33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0" t="s">
        <v>47</v>
      </c>
      <c r="C71" s="331">
        <f>MAI!L43+JUIN!L50+JUILLET!K43+AOUT!K48</f>
        <v>319.79999999999995</v>
      </c>
      <c r="D71" s="331">
        <f>MAI!M43+JUIN!M50+JUILLET!L43+AOUT!L48</f>
        <v>348</v>
      </c>
      <c r="E71" s="330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0" t="s">
        <v>20</v>
      </c>
      <c r="C72" s="331">
        <f>MAI!L44+JUIN!L51+JUILLET!K44+AOUT!K49</f>
        <v>522.59999999999991</v>
      </c>
      <c r="D72" s="331">
        <f>MAI!M44+JUIN!M51+JUILLET!L44+AOUT!L49</f>
        <v>600</v>
      </c>
      <c r="E72" s="330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0" t="s">
        <v>19</v>
      </c>
      <c r="C73" s="331">
        <f>+MAI!L45+JUIN!L52+JUILLET!K45+AOUT!K50</f>
        <v>227.76000000000002</v>
      </c>
      <c r="D73" s="331">
        <f>MAI!M45+JUIN!M52+JUILLET!L45+AOUT!L50</f>
        <v>230</v>
      </c>
      <c r="E73" s="330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0" t="s">
        <v>37</v>
      </c>
      <c r="C74" s="331">
        <f>MAI!L46+JUIN!L53+JUILLET!K46+AOUT!K51</f>
        <v>237.12</v>
      </c>
      <c r="D74" s="331">
        <f>MAI!M46+JUIN!M53+JUILLET!L46+AOUT!L51</f>
        <v>270</v>
      </c>
      <c r="E74" s="330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0" t="s">
        <v>27</v>
      </c>
      <c r="C75" s="331">
        <f>MAI!L47+JUIN!L54+JUILLET!K47+AOUT!K52</f>
        <v>449.28</v>
      </c>
      <c r="D75" s="331">
        <f>MAI!M47+JUIN!M54+JUILLET!L47+AOUT!L52</f>
        <v>474</v>
      </c>
      <c r="E75" s="330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0" t="s">
        <v>34</v>
      </c>
      <c r="C76" s="331">
        <f>MAI!L48+JUIN!L55+JUILLET!K48+AOUT!K53</f>
        <v>592.79999999999995</v>
      </c>
      <c r="D76" s="331">
        <f>MAI!M48+JUIN!M55+JUILLET!L48+AOUT!L53</f>
        <v>682</v>
      </c>
      <c r="E76" s="330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0" t="s">
        <v>22</v>
      </c>
      <c r="C77" s="331">
        <f>MAI!L49+JUIN!L56+JUILLET!K49+AOUT!K54</f>
        <v>553.79999999999995</v>
      </c>
      <c r="D77" s="331">
        <f>MAI!M49+JUIN!M56+JUILLET!L49+AOUT!L54</f>
        <v>696</v>
      </c>
      <c r="E77" s="330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0" t="s">
        <v>29</v>
      </c>
      <c r="C78" s="331">
        <f>MAI!L50+JUIN!L57+JUILLET!K50+AOUT!K55</f>
        <v>616.20000000000005</v>
      </c>
      <c r="D78" s="331">
        <f>MAI!M50+JUIN!M57+JUILLET!L50+AOUT!L55</f>
        <v>820</v>
      </c>
      <c r="E78" s="330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0" t="s">
        <v>48</v>
      </c>
      <c r="C79" s="331">
        <f>MAI!L51+JUIN!L58+JUILLET!K51+AOUT!K56</f>
        <v>670.8</v>
      </c>
      <c r="D79" s="331">
        <f>MAI!M51+JUIN!M58+JUILLET!L51+AOUT!L56</f>
        <v>902</v>
      </c>
      <c r="E79" s="330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0" t="s">
        <v>44</v>
      </c>
      <c r="C80" s="331">
        <f>MAI!L52+JUIN!L59+JUILLET!K52+AOUT!K57</f>
        <v>592.79999999999995</v>
      </c>
      <c r="D80" s="331">
        <f>MAI!M52+JUIN!M59+JUILLET!L52+AOUT!L57</f>
        <v>688</v>
      </c>
      <c r="E80" s="330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0" t="s">
        <v>23</v>
      </c>
      <c r="C81" s="331">
        <f>MAI!L53+JUIN!L60+JUILLET!K53+AOUT!K58</f>
        <v>569.4</v>
      </c>
      <c r="D81" s="331">
        <f>MAI!M53+JUIN!M60+JUILLET!L53+AOUT!L58</f>
        <v>593</v>
      </c>
      <c r="E81" s="330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0" t="s">
        <v>32</v>
      </c>
      <c r="C82" s="331">
        <f>MAI!L54+JUIN!L61+JUILLET!K54+AOUT!K59</f>
        <v>624</v>
      </c>
      <c r="D82" s="331">
        <f>MAI!M54+JUIN!M61+JUILLET!L54+AOUT!L59</f>
        <v>780</v>
      </c>
      <c r="E82" s="330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0" t="s">
        <v>102</v>
      </c>
      <c r="C83" s="331">
        <f>MAI!L55+JUIN!L62+JUILLET!K55+AOUT!K60</f>
        <v>670.8</v>
      </c>
      <c r="D83" s="331">
        <f>MAI!M55+JUIN!M62+JUILLET!L55+AOUT!L60</f>
        <v>750</v>
      </c>
      <c r="E83" s="330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28" t="s">
        <v>168</v>
      </c>
      <c r="C84" s="329">
        <f>MAI!L56+JUILLET!K56+AOUT!K61</f>
        <v>261.89999999999998</v>
      </c>
      <c r="D84" s="329">
        <f>MAI!M56+JUILLET!L56+AOUT!L61</f>
        <v>328</v>
      </c>
      <c r="E84" s="328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I47" sqref="I47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45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189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3" t="s">
        <v>22</v>
      </c>
      <c r="G4" s="323" t="s">
        <v>22</v>
      </c>
      <c r="H4" s="36" t="s">
        <v>21</v>
      </c>
      <c r="I4" s="272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3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4" t="s">
        <v>22</v>
      </c>
      <c r="G9" s="324" t="s">
        <v>22</v>
      </c>
      <c r="H9" s="154" t="s">
        <v>21</v>
      </c>
      <c r="I9" s="129"/>
      <c r="J9" s="42"/>
      <c r="K9" s="43"/>
      <c r="L9" s="273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3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3" t="s">
        <v>22</v>
      </c>
      <c r="I11" s="245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3" t="s">
        <v>22</v>
      </c>
      <c r="G12" s="323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3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3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27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5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3" t="s">
        <v>22</v>
      </c>
      <c r="I18" s="119" t="s">
        <v>23</v>
      </c>
      <c r="J18" s="104" t="s">
        <v>48</v>
      </c>
      <c r="K18" s="274"/>
      <c r="L18" s="249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49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49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323" t="s">
        <v>28</v>
      </c>
      <c r="F21" s="104" t="s">
        <v>44</v>
      </c>
      <c r="G21" s="33" t="s">
        <v>38</v>
      </c>
      <c r="H21" s="337" t="s">
        <v>102</v>
      </c>
      <c r="I21" s="32"/>
      <c r="J21" s="274"/>
      <c r="K21" s="338" t="s">
        <v>20</v>
      </c>
      <c r="L21" s="249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3" t="s">
        <v>22</v>
      </c>
      <c r="D22" s="323" t="s">
        <v>22</v>
      </c>
      <c r="E22" s="33" t="s">
        <v>31</v>
      </c>
      <c r="F22" s="337" t="s">
        <v>102</v>
      </c>
      <c r="G22" s="33" t="s">
        <v>36</v>
      </c>
      <c r="H22" s="104" t="s">
        <v>168</v>
      </c>
      <c r="I22" s="32"/>
      <c r="J22" s="337" t="s">
        <v>44</v>
      </c>
      <c r="K22" s="36"/>
      <c r="L22" s="249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1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2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5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33" t="s">
        <v>36</v>
      </c>
      <c r="G26" s="33" t="s">
        <v>36</v>
      </c>
      <c r="H26" s="104" t="s">
        <v>168</v>
      </c>
      <c r="I26" s="32"/>
      <c r="J26" s="352"/>
      <c r="K26" s="36"/>
      <c r="L26" s="275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37" t="s">
        <v>102</v>
      </c>
      <c r="G27" s="337" t="s">
        <v>102</v>
      </c>
      <c r="H27" s="104" t="s">
        <v>168</v>
      </c>
      <c r="I27" s="27"/>
      <c r="J27" s="352"/>
      <c r="K27" s="64"/>
      <c r="L27" s="275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38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5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104" t="s">
        <v>48</v>
      </c>
      <c r="H29" s="337" t="s">
        <v>44</v>
      </c>
      <c r="I29" s="32"/>
      <c r="J29" s="33" t="s">
        <v>20</v>
      </c>
      <c r="K29" s="33"/>
      <c r="L29" s="275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04" t="s">
        <v>48</v>
      </c>
      <c r="G31" s="104" t="s">
        <v>48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6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64</v>
      </c>
      <c r="J36" s="359" t="s">
        <v>65</v>
      </c>
      <c r="K36" s="359" t="s">
        <v>66</v>
      </c>
      <c r="L36" s="269" t="s">
        <v>67</v>
      </c>
      <c r="M36" s="269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4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110</v>
      </c>
      <c r="M38" s="238">
        <f t="shared" si="2"/>
        <v>32</v>
      </c>
    </row>
    <row r="39" spans="1:21" ht="12" customHeight="1" x14ac:dyDescent="0.15">
      <c r="A39" s="73"/>
      <c r="B39" s="73"/>
      <c r="C39" s="82" t="s">
        <v>21</v>
      </c>
      <c r="D39" s="277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>D39*((39*$D$35)-($F$35*39/5))-(I39*7.8)</f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7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3.2</v>
      </c>
      <c r="J40" s="85">
        <f t="shared" si="0"/>
        <v>24.192</v>
      </c>
      <c r="K40" s="86">
        <f>D40*((39*$D$35)-($F$35*39/5))-(I40*7.8)</f>
        <v>99.84</v>
      </c>
      <c r="L40" s="86">
        <f>E40*10+F40*14+G40*12</f>
        <v>132</v>
      </c>
      <c r="M40" s="238">
        <f t="shared" si="2"/>
        <v>32.159999999999997</v>
      </c>
    </row>
    <row r="41" spans="1:21" ht="12" customHeight="1" x14ac:dyDescent="0.15">
      <c r="A41" s="3"/>
      <c r="B41" s="3"/>
      <c r="C41" s="86" t="s">
        <v>28</v>
      </c>
      <c r="D41" s="278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 x14ac:dyDescent="0.15">
      <c r="A42" s="3"/>
      <c r="B42" s="3"/>
      <c r="C42" s="86" t="s">
        <v>42</v>
      </c>
      <c r="D42" s="278">
        <v>1</v>
      </c>
      <c r="E42" s="84">
        <f>COUNTIF($C$4:$C$31,"ORIOLI")+COUNTIF($F$4:$F$31,"ORIOLI")+COUNTIF($H$4:$H$31,"ORIOLI")+COUNTIF($J$4:$J$31,"ORIOLI")</f>
        <v>4</v>
      </c>
      <c r="F42" s="84">
        <f>COUNTIF($D$4:$D$31,"ORIOLI")+COUNTIF($G$4:$G$31,"ORIOLI")</f>
        <v>3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94</v>
      </c>
      <c r="M42" s="240">
        <f t="shared" si="2"/>
        <v>-62</v>
      </c>
      <c r="N42" s="3"/>
    </row>
    <row r="43" spans="1:21" ht="12" customHeight="1" x14ac:dyDescent="0.15">
      <c r="A43" s="3"/>
      <c r="B43" s="3"/>
      <c r="C43" s="86" t="s">
        <v>47</v>
      </c>
      <c r="D43" s="278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>
        <v>10</v>
      </c>
      <c r="J43" s="85">
        <f t="shared" si="0"/>
        <v>9</v>
      </c>
      <c r="K43" s="86">
        <f t="shared" si="1"/>
        <v>0</v>
      </c>
      <c r="L43" s="86">
        <f>E43*10+F43*14+G43*12</f>
        <v>0</v>
      </c>
      <c r="M43" s="240">
        <f t="shared" si="2"/>
        <v>0</v>
      </c>
      <c r="N43" s="3"/>
    </row>
    <row r="44" spans="1:21" ht="12.75" customHeight="1" x14ac:dyDescent="0.15">
      <c r="A44" s="3"/>
      <c r="B44" s="3"/>
      <c r="C44" s="86" t="s">
        <v>20</v>
      </c>
      <c r="D44" s="278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 x14ac:dyDescent="0.15">
      <c r="A45" s="3"/>
      <c r="B45" s="3"/>
      <c r="C45" s="86" t="s">
        <v>19</v>
      </c>
      <c r="D45" s="278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8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8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8">
        <v>1</v>
      </c>
      <c r="E48" s="84">
        <f>COUNTIF($C$4:$C$31,"ZEBICHE")+COUNTIF($H$4:$H$31,"ZEBICHE")+COUNTIF($F$4:$F$31,"ZEBICHE")+COUNTIF($J$4:$J$31,"ZEBICHE")</f>
        <v>3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58</v>
      </c>
      <c r="M48" s="238">
        <f t="shared" si="2"/>
        <v>-20</v>
      </c>
    </row>
    <row r="49" spans="1:21" ht="12" customHeight="1" x14ac:dyDescent="0.15">
      <c r="A49" s="3"/>
      <c r="B49" s="3"/>
      <c r="C49" s="86" t="s">
        <v>22</v>
      </c>
      <c r="D49" s="278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 x14ac:dyDescent="0.15">
      <c r="A50" s="3"/>
      <c r="B50" s="72"/>
      <c r="C50" s="86" t="s">
        <v>29</v>
      </c>
      <c r="D50" s="278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8">
        <v>1</v>
      </c>
      <c r="E51" s="84">
        <f>COUNTIF($C$4:$C$31,"AFZAL")+COUNTIF($I$4:$I$31,"AFZAL")+COUNTIF($H$4:$H$31,"AFZAL")+COUNTIF($F$4:$F$31,"AFZAL")+COUNTIF($J$4:$J$31,"AFZAL")+D60</f>
        <v>11</v>
      </c>
      <c r="F51" s="84">
        <f>COUNTIF($D$4:$D$31,"AFZAL")+COUNTIF($I$4:$I$31,"AFZAL")+COUNTIF($G$4:$G$31,"AFZAL")</f>
        <v>6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206</v>
      </c>
      <c r="M51" s="238">
        <f t="shared" si="2"/>
        <v>50</v>
      </c>
      <c r="N51" s="57"/>
    </row>
    <row r="52" spans="1:21" ht="12" customHeight="1" x14ac:dyDescent="0.15">
      <c r="A52" s="3"/>
      <c r="B52" s="96"/>
      <c r="C52" s="86" t="s">
        <v>44</v>
      </c>
      <c r="D52" s="278">
        <v>1</v>
      </c>
      <c r="E52" s="84">
        <f>COUNTIF($C$4:$C$31,"IBRAHIM")+COUNTIF($I$4:$I$31,"IBRAHIM")+COUNTIF($H$4:$H$31,"IBRAHIM")+COUNTIF($F$4:$F$31,"IBRAHIM")+D61+COUNTIF($J$4:$J$31,"IBRAHIM")</f>
        <v>9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172</v>
      </c>
      <c r="M52" s="238">
        <f t="shared" si="2"/>
        <v>16</v>
      </c>
      <c r="N52" s="57"/>
    </row>
    <row r="53" spans="1:21" ht="12" customHeight="1" x14ac:dyDescent="0.15">
      <c r="A53" s="3"/>
      <c r="B53" s="96"/>
      <c r="C53" s="86" t="s">
        <v>23</v>
      </c>
      <c r="D53" s="278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8">
        <v>1</v>
      </c>
      <c r="E54" s="279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8">
        <v>1</v>
      </c>
      <c r="E55" s="279">
        <f>COUNTIF($C$4:$C$31,"TODY")+COUNTIF($I$4:$I$31,"TODY")+COUNTIF($H$4:$H$31,"TODY")+COUNTIF($F$4:$F$31,"TODY")+D64+COUNTIF($J$4:$J$31,"TODY")</f>
        <v>12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216</v>
      </c>
      <c r="M55" s="238">
        <f t="shared" si="2"/>
        <v>83.4</v>
      </c>
      <c r="N55" s="57"/>
    </row>
    <row r="56" spans="1:21" ht="12" customHeight="1" x14ac:dyDescent="0.15">
      <c r="A56" s="3"/>
      <c r="B56" s="96"/>
      <c r="C56" s="86" t="s">
        <v>168</v>
      </c>
      <c r="D56" s="278">
        <v>1</v>
      </c>
      <c r="E56" s="279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3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G1" zoomScale="112" zoomScaleNormal="112" workbookViewId="0">
      <selection activeCell="J19" sqref="J19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8" t="s">
        <v>199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09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0" t="s">
        <v>20</v>
      </c>
      <c r="L4" s="172" t="s">
        <v>203</v>
      </c>
      <c r="M4" s="30"/>
      <c r="N4" s="28" t="s">
        <v>204</v>
      </c>
      <c r="O4" s="310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0" t="s">
        <v>34</v>
      </c>
      <c r="D5" s="280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1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1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1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0" t="s">
        <v>36</v>
      </c>
      <c r="D8" s="280" t="s">
        <v>36</v>
      </c>
      <c r="E8" s="48" t="s">
        <v>47</v>
      </c>
      <c r="F8" s="322" t="s">
        <v>22</v>
      </c>
      <c r="G8" s="190" t="s">
        <v>31</v>
      </c>
      <c r="H8" s="36" t="s">
        <v>21</v>
      </c>
      <c r="I8" s="339" t="s">
        <v>102</v>
      </c>
      <c r="J8" s="51" t="s">
        <v>29</v>
      </c>
      <c r="K8" s="52"/>
      <c r="L8" s="172" t="s">
        <v>205</v>
      </c>
      <c r="M8" s="34"/>
      <c r="N8" s="49"/>
      <c r="O8" s="311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2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2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2" t="s">
        <v>22</v>
      </c>
      <c r="H11" s="322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1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1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0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1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1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2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1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54" t="s">
        <v>22</v>
      </c>
      <c r="I16" s="129"/>
      <c r="J16" s="42"/>
      <c r="K16" s="43"/>
      <c r="L16" s="44"/>
      <c r="M16" s="154" t="s">
        <v>45</v>
      </c>
      <c r="N16" s="55"/>
      <c r="O16" s="313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1" t="s">
        <v>38</v>
      </c>
      <c r="D17" s="281" t="s">
        <v>38</v>
      </c>
      <c r="E17" s="177" t="s">
        <v>46</v>
      </c>
      <c r="F17" s="39" t="s">
        <v>27</v>
      </c>
      <c r="G17" s="39" t="s">
        <v>27</v>
      </c>
      <c r="H17" s="342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322" t="s">
        <v>22</v>
      </c>
      <c r="H18" s="51" t="s">
        <v>32</v>
      </c>
      <c r="I18" s="45" t="s">
        <v>168</v>
      </c>
      <c r="J18" s="322" t="s">
        <v>22</v>
      </c>
      <c r="K18" s="32"/>
      <c r="L18" s="30" t="s">
        <v>207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23</v>
      </c>
      <c r="F19" s="51" t="s">
        <v>102</v>
      </c>
      <c r="G19" s="51" t="s">
        <v>102</v>
      </c>
      <c r="H19" s="51" t="s">
        <v>48</v>
      </c>
      <c r="I19" s="32"/>
      <c r="J19" s="52" t="s">
        <v>20</v>
      </c>
      <c r="K19" s="32"/>
      <c r="L19" s="30" t="s">
        <v>207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190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44</v>
      </c>
      <c r="F21" s="280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0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354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354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27</v>
      </c>
      <c r="D25" s="52" t="s">
        <v>27</v>
      </c>
      <c r="E25" s="322" t="s">
        <v>22</v>
      </c>
      <c r="F25" s="52" t="s">
        <v>20</v>
      </c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209</v>
      </c>
      <c r="M25" s="30"/>
      <c r="N25" s="274" t="s">
        <v>210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2" t="s">
        <v>26</v>
      </c>
      <c r="B26" s="22">
        <v>45957</v>
      </c>
      <c r="C26" s="280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2" t="s">
        <v>22</v>
      </c>
      <c r="I26" s="63"/>
      <c r="J26" s="363" t="s">
        <v>20</v>
      </c>
      <c r="K26" s="32"/>
      <c r="L26" s="30" t="s">
        <v>209</v>
      </c>
      <c r="M26" s="30"/>
      <c r="N26" s="274" t="s">
        <v>210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2" t="s">
        <v>22</v>
      </c>
      <c r="G27" s="322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4" t="s">
        <v>210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0" t="s">
        <v>36</v>
      </c>
      <c r="D28" s="280" t="s">
        <v>36</v>
      </c>
      <c r="E28" s="322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4" t="s">
        <v>210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0" t="s">
        <v>34</v>
      </c>
      <c r="D29" s="280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322" t="s">
        <v>20</v>
      </c>
      <c r="K29" s="28"/>
      <c r="L29" s="30" t="s">
        <v>211</v>
      </c>
      <c r="M29" s="30"/>
      <c r="N29" s="274" t="s">
        <v>210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42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3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4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64</v>
      </c>
      <c r="J36" s="359" t="s">
        <v>65</v>
      </c>
      <c r="K36" s="359" t="s">
        <v>66</v>
      </c>
      <c r="L36" s="269" t="s">
        <v>67</v>
      </c>
      <c r="M36" s="269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5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>
        <v>6</v>
      </c>
      <c r="J38" s="85">
        <f t="shared" si="0"/>
        <v>25.2</v>
      </c>
      <c r="K38" s="86">
        <f t="shared" si="1"/>
        <v>109.2</v>
      </c>
      <c r="L38" s="86">
        <f>E38*10+F38*14+G38*12+H38*10</f>
        <v>162</v>
      </c>
      <c r="M38" s="240">
        <f t="shared" si="2"/>
        <v>52.8</v>
      </c>
    </row>
    <row r="39" spans="1:19" ht="12.75" customHeight="1" x14ac:dyDescent="0.15">
      <c r="A39" s="73"/>
      <c r="B39" s="73"/>
      <c r="C39" s="82" t="s">
        <v>21</v>
      </c>
      <c r="D39" s="277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 x14ac:dyDescent="0.15">
      <c r="A40" s="73"/>
      <c r="B40" s="73"/>
      <c r="C40" s="82" t="s">
        <v>31</v>
      </c>
      <c r="D40" s="277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 x14ac:dyDescent="0.15">
      <c r="A41" s="3"/>
      <c r="B41" s="3"/>
      <c r="C41" s="86" t="s">
        <v>28</v>
      </c>
      <c r="D41" s="278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8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8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8">
        <v>1</v>
      </c>
      <c r="E44" s="84">
        <f>COUNTIF($C$4:$C$31,"TORREGROSSA")+COUNTIF($J$4:$J$31,"TORREGROSSA")+COUNTIF($F$4:$F$31,"TORREGROSSA")+COUNTIF($H$4:$H$31,"TORREGROSSA")</f>
        <v>11</v>
      </c>
      <c r="F44" s="84">
        <f>COUNTIF($D$4:$D$31,"TORREGROSSA")+COUNTIF($G$4:$G$31,"TORREGROSSA")</f>
        <v>3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174</v>
      </c>
      <c r="M44" s="238">
        <f t="shared" si="2"/>
        <v>18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8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8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8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96</v>
      </c>
      <c r="M47" s="238">
        <f t="shared" si="2"/>
        <v>2.3999999999999915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8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8">
        <v>1</v>
      </c>
      <c r="E49" s="84">
        <f>COUNTIF($C$4:$C$31,"HACHIMI")+COUNTIF($I$4:$I$31,"HACHIMI")+COUNTIF($H$4:$H$31,"HACHIMI")+COUNTIF($J$4:$J$31,"HACHIMI")+COUNTIF($F$4:$F$31,"HACHIMI")+D58</f>
        <v>9</v>
      </c>
      <c r="F49" s="84">
        <f>COUNTIF($D$4:$D$31,"HACHIMI")+COUNTIF($I$4:$I$31,"HACHIMI")+COUNTIF($G$4:$G$31,"HACHIMI")</f>
        <v>3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168</v>
      </c>
      <c r="M49" s="238">
        <f t="shared" si="2"/>
        <v>27.599999999999994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8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8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8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8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1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8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7</v>
      </c>
      <c r="J54" s="85">
        <f t="shared" si="3"/>
        <v>23.4</v>
      </c>
      <c r="K54" s="86">
        <f t="shared" si="1"/>
        <v>101.4</v>
      </c>
      <c r="L54" s="86">
        <f t="shared" si="4"/>
        <v>166</v>
      </c>
      <c r="M54" s="238">
        <f t="shared" si="2"/>
        <v>64.599999999999994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8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8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E23:E25 F21:F24 I21 K21 J31:L31 C23:C24 G22:J22 G23 I23:K23 D24 H24:K24 E18:E21 G18:J18 J28:K30 C26:I31 F4:J4 G25:K25 F19:I20 J20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abSelected="1" zoomScale="112" zoomScaleNormal="112" workbookViewId="0">
      <selection activeCell="H12" sqref="H12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8" t="s">
        <v>212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9" t="s">
        <v>16</v>
      </c>
      <c r="O3" s="309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6" t="s">
        <v>32</v>
      </c>
      <c r="H4" s="52" t="s">
        <v>42</v>
      </c>
      <c r="I4" s="287" t="s">
        <v>214</v>
      </c>
      <c r="J4" s="27" t="s">
        <v>38</v>
      </c>
      <c r="K4" s="28"/>
      <c r="L4" s="172" t="s">
        <v>215</v>
      </c>
      <c r="M4" s="30"/>
      <c r="N4" s="28"/>
      <c r="O4" s="310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3" t="s">
        <v>19</v>
      </c>
      <c r="I5" s="63"/>
      <c r="J5" s="24" t="s">
        <v>29</v>
      </c>
      <c r="K5" s="32"/>
      <c r="L5" s="172" t="s">
        <v>215</v>
      </c>
      <c r="M5" s="34"/>
      <c r="N5" s="28"/>
      <c r="O5" s="311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6" t="s">
        <v>32</v>
      </c>
      <c r="I6" s="63"/>
      <c r="J6" s="24" t="s">
        <v>29</v>
      </c>
      <c r="K6" s="36"/>
      <c r="L6" s="172" t="s">
        <v>216</v>
      </c>
      <c r="M6" s="172"/>
      <c r="N6" s="28"/>
      <c r="O6" s="311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6" t="s">
        <v>32</v>
      </c>
      <c r="F7" s="355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216</v>
      </c>
      <c r="M7" s="172"/>
      <c r="N7" s="28"/>
      <c r="O7" s="311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43" t="s">
        <v>19</v>
      </c>
      <c r="F8" s="32" t="s">
        <v>34</v>
      </c>
      <c r="G8" s="32" t="s">
        <v>34</v>
      </c>
      <c r="H8" s="48" t="s">
        <v>21</v>
      </c>
      <c r="I8" s="63"/>
      <c r="J8" s="322" t="s">
        <v>22</v>
      </c>
      <c r="K8" s="36"/>
      <c r="L8" s="172" t="s">
        <v>216</v>
      </c>
      <c r="M8" s="34"/>
      <c r="N8" s="28"/>
      <c r="O8" s="311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8" t="s">
        <v>20</v>
      </c>
      <c r="D9" s="288" t="s">
        <v>20</v>
      </c>
      <c r="E9" s="325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4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8" t="s">
        <v>34</v>
      </c>
      <c r="G10" s="288" t="s">
        <v>34</v>
      </c>
      <c r="H10" s="286" t="s">
        <v>32</v>
      </c>
      <c r="I10" s="287" t="s">
        <v>214</v>
      </c>
      <c r="J10" s="42"/>
      <c r="K10" s="43"/>
      <c r="L10" s="44"/>
      <c r="M10" s="44"/>
      <c r="N10" s="178"/>
      <c r="O10" s="314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6" t="s">
        <v>32</v>
      </c>
      <c r="D11" s="286" t="s">
        <v>32</v>
      </c>
      <c r="E11" s="32" t="s">
        <v>20</v>
      </c>
      <c r="F11" s="355" t="s">
        <v>22</v>
      </c>
      <c r="G11" s="32" t="s">
        <v>27</v>
      </c>
      <c r="H11" s="48" t="s">
        <v>28</v>
      </c>
      <c r="I11" s="287" t="s">
        <v>214</v>
      </c>
      <c r="J11" s="24" t="s">
        <v>29</v>
      </c>
      <c r="K11" s="28"/>
      <c r="L11" s="172" t="s">
        <v>216</v>
      </c>
      <c r="M11" s="34"/>
      <c r="N11" s="181"/>
      <c r="O11" s="311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3" t="s">
        <v>19</v>
      </c>
      <c r="G12" s="52" t="s">
        <v>36</v>
      </c>
      <c r="H12" s="32" t="s">
        <v>20</v>
      </c>
      <c r="I12" s="32"/>
      <c r="J12" s="24" t="s">
        <v>29</v>
      </c>
      <c r="L12" s="172" t="s">
        <v>216</v>
      </c>
      <c r="M12" s="30"/>
      <c r="N12" s="181"/>
      <c r="O12" s="311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2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3" t="s">
        <v>19</v>
      </c>
      <c r="K14" s="28"/>
      <c r="L14" s="172" t="s">
        <v>216</v>
      </c>
      <c r="M14" s="30"/>
      <c r="N14" s="49"/>
      <c r="O14" s="311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6" t="s">
        <v>32</v>
      </c>
      <c r="F15" s="32" t="s">
        <v>37</v>
      </c>
      <c r="G15" s="355" t="s">
        <v>22</v>
      </c>
      <c r="H15" s="32" t="s">
        <v>20</v>
      </c>
      <c r="I15" s="32"/>
      <c r="J15" s="355" t="s">
        <v>22</v>
      </c>
      <c r="K15" s="32"/>
      <c r="L15" s="30"/>
      <c r="M15" s="30"/>
      <c r="N15" s="181"/>
      <c r="O15" s="311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8" t="s">
        <v>34</v>
      </c>
      <c r="G16" s="288" t="s">
        <v>34</v>
      </c>
      <c r="H16" s="39" t="s">
        <v>21</v>
      </c>
      <c r="I16" s="39"/>
      <c r="J16" s="42"/>
      <c r="K16" s="43"/>
      <c r="L16" s="55"/>
      <c r="M16" s="55"/>
      <c r="N16" s="135"/>
      <c r="O16" s="315"/>
      <c r="P16" s="31"/>
      <c r="Q16" s="3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1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7" t="s">
        <v>214</v>
      </c>
      <c r="J17" s="42"/>
      <c r="K17" s="43"/>
      <c r="L17" s="55"/>
      <c r="M17" s="55"/>
      <c r="N17" s="135"/>
      <c r="O17" s="315"/>
      <c r="P17" s="56"/>
      <c r="Q17" s="31"/>
      <c r="R17" s="3"/>
      <c r="S17" s="3"/>
      <c r="T17" s="3"/>
    </row>
    <row r="18" spans="1:24" ht="12.75" customHeight="1" x14ac:dyDescent="0.15">
      <c r="A18" s="21" t="s">
        <v>18</v>
      </c>
      <c r="B18" s="289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7" t="s">
        <v>214</v>
      </c>
      <c r="J18" s="24" t="s">
        <v>48</v>
      </c>
      <c r="K18" s="32"/>
      <c r="L18" s="30" t="s">
        <v>156</v>
      </c>
      <c r="M18" s="30"/>
      <c r="N18" s="28"/>
      <c r="O18" s="310"/>
      <c r="P18" s="56"/>
      <c r="Q18" s="3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0"/>
      <c r="P19" s="56"/>
      <c r="Q19" s="3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43" t="s">
        <v>19</v>
      </c>
      <c r="F20" s="344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0"/>
      <c r="P20" s="56"/>
      <c r="Q20" s="3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355" t="s">
        <v>22</v>
      </c>
      <c r="E21" s="286" t="s">
        <v>32</v>
      </c>
      <c r="F21" s="48" t="s">
        <v>21</v>
      </c>
      <c r="G21" s="48" t="s">
        <v>28</v>
      </c>
      <c r="H21" s="48" t="s">
        <v>28</v>
      </c>
      <c r="I21" s="32"/>
      <c r="J21" s="355" t="s">
        <v>22</v>
      </c>
      <c r="K21" s="28"/>
      <c r="L21" s="30" t="s">
        <v>156</v>
      </c>
      <c r="M21" s="30"/>
      <c r="N21" s="28" t="s">
        <v>217</v>
      </c>
      <c r="O21" s="310"/>
      <c r="P21" s="56"/>
      <c r="Q21" s="3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43" t="s">
        <v>19</v>
      </c>
      <c r="F22" s="344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0"/>
      <c r="P22" s="56"/>
      <c r="Q22" s="3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168</v>
      </c>
      <c r="G23" s="24" t="s">
        <v>168</v>
      </c>
      <c r="H23" s="24" t="s">
        <v>102</v>
      </c>
      <c r="I23" s="39"/>
      <c r="J23" s="42"/>
      <c r="K23" s="43"/>
      <c r="L23" s="55"/>
      <c r="M23" s="55"/>
      <c r="N23" s="135"/>
      <c r="O23" s="315"/>
      <c r="P23" s="56"/>
      <c r="Q23" s="3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2" t="s">
        <v>197</v>
      </c>
      <c r="I24" s="290" t="s">
        <v>102</v>
      </c>
      <c r="J24" s="42"/>
      <c r="K24" s="43"/>
      <c r="L24" s="55"/>
      <c r="M24" s="55"/>
      <c r="N24" s="135"/>
      <c r="O24" s="315"/>
      <c r="P24" s="56"/>
      <c r="Q24" s="56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2" t="s">
        <v>22</v>
      </c>
      <c r="I25" s="290" t="s">
        <v>44</v>
      </c>
      <c r="J25" s="24" t="s">
        <v>48</v>
      </c>
      <c r="K25" s="32"/>
      <c r="L25" s="30"/>
      <c r="M25" s="30"/>
      <c r="N25" s="28" t="s">
        <v>218</v>
      </c>
      <c r="O25" s="310"/>
      <c r="P25" s="31"/>
      <c r="Q25" s="56"/>
      <c r="R25" s="3"/>
      <c r="S25" s="3"/>
      <c r="T25" s="3"/>
    </row>
    <row r="26" spans="1:24" ht="13.5" customHeight="1" x14ac:dyDescent="0.15">
      <c r="A26" s="195" t="s">
        <v>26</v>
      </c>
      <c r="B26" s="291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10"/>
      <c r="P26" s="31"/>
      <c r="Q26" s="56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55" t="s">
        <v>22</v>
      </c>
      <c r="K27" s="64"/>
      <c r="L27" s="180"/>
      <c r="M27" s="30"/>
      <c r="N27" s="28" t="s">
        <v>218</v>
      </c>
      <c r="O27" s="31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292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 t="s">
        <v>219</v>
      </c>
      <c r="M28" s="30"/>
      <c r="N28" s="28" t="s">
        <v>218</v>
      </c>
      <c r="O28" s="31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3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4"/>
      <c r="L29" s="180" t="s">
        <v>219</v>
      </c>
      <c r="M29" s="30"/>
      <c r="N29" s="28" t="s">
        <v>218</v>
      </c>
      <c r="O29" s="31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1" t="s">
        <v>27</v>
      </c>
      <c r="D30" s="229" t="s">
        <v>27</v>
      </c>
      <c r="E30" s="24" t="s">
        <v>48</v>
      </c>
      <c r="F30" s="355" t="s">
        <v>22</v>
      </c>
      <c r="G30" s="355" t="s">
        <v>22</v>
      </c>
      <c r="H30" s="24" t="s">
        <v>44</v>
      </c>
      <c r="I30" s="39"/>
      <c r="J30" s="42"/>
      <c r="K30" s="43"/>
      <c r="L30" s="185"/>
      <c r="M30" s="44"/>
      <c r="N30" s="135"/>
      <c r="O30" s="31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2" t="s">
        <v>197</v>
      </c>
      <c r="I31" s="290" t="s">
        <v>29</v>
      </c>
      <c r="J31" s="42"/>
      <c r="K31" s="43"/>
      <c r="L31" s="185"/>
      <c r="M31" s="44"/>
      <c r="N31" s="135"/>
      <c r="O31" s="31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5" t="s">
        <v>34</v>
      </c>
      <c r="D32" s="190" t="s">
        <v>34</v>
      </c>
      <c r="E32" s="24" t="s">
        <v>32</v>
      </c>
      <c r="F32" s="355" t="s">
        <v>22</v>
      </c>
      <c r="G32" s="355" t="s">
        <v>22</v>
      </c>
      <c r="H32" s="48" t="s">
        <v>21</v>
      </c>
      <c r="I32" s="290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10"/>
      <c r="P32" s="31"/>
      <c r="Q32" s="56"/>
    </row>
    <row r="33" spans="1:17" ht="12.75" customHeight="1" x14ac:dyDescent="0.15">
      <c r="A33" s="282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3" t="s">
        <v>19</v>
      </c>
      <c r="K33" s="32"/>
      <c r="L33" s="30" t="s">
        <v>52</v>
      </c>
      <c r="M33" s="30"/>
      <c r="N33" s="28" t="s">
        <v>220</v>
      </c>
      <c r="O33" s="310"/>
      <c r="P33" s="31"/>
      <c r="Q33" s="56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10"/>
      <c r="P34" s="31"/>
      <c r="Q34" s="56"/>
    </row>
    <row r="35" spans="1:17" ht="12.75" customHeight="1" x14ac:dyDescent="0.15">
      <c r="A35" s="21" t="s">
        <v>33</v>
      </c>
      <c r="B35" s="22">
        <v>45994</v>
      </c>
      <c r="C35" s="296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55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10"/>
      <c r="P35" s="31"/>
      <c r="Q35" s="56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55" t="s">
        <v>22</v>
      </c>
      <c r="K36" s="294"/>
      <c r="L36" s="30" t="s">
        <v>52</v>
      </c>
      <c r="M36" s="30"/>
      <c r="N36" s="28" t="s">
        <v>220</v>
      </c>
      <c r="O36" s="310"/>
      <c r="P36" s="31"/>
      <c r="Q36" s="56"/>
    </row>
    <row r="37" spans="1:17" ht="12.75" customHeight="1" x14ac:dyDescent="0.15">
      <c r="A37" s="37" t="s">
        <v>41</v>
      </c>
      <c r="B37" s="38">
        <v>45996</v>
      </c>
      <c r="C37" s="288" t="s">
        <v>19</v>
      </c>
      <c r="D37" s="288" t="s">
        <v>20</v>
      </c>
      <c r="E37" s="58" t="s">
        <v>47</v>
      </c>
      <c r="F37" s="39" t="s">
        <v>37</v>
      </c>
      <c r="G37" s="356" t="s">
        <v>22</v>
      </c>
      <c r="H37" s="39" t="s">
        <v>21</v>
      </c>
      <c r="I37" s="39"/>
      <c r="J37" s="42"/>
      <c r="K37" s="43"/>
      <c r="L37" s="185"/>
      <c r="M37" s="44"/>
      <c r="N37" s="135"/>
      <c r="O37" s="315"/>
      <c r="P37" s="31"/>
      <c r="Q37" s="56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0" t="s">
        <v>23</v>
      </c>
      <c r="J38" s="42"/>
      <c r="K38" s="43"/>
      <c r="L38" s="185"/>
      <c r="M38" s="44"/>
      <c r="N38" s="135"/>
      <c r="O38" s="315"/>
      <c r="P38" s="31"/>
      <c r="Q38" s="56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7" t="s">
        <v>57</v>
      </c>
      <c r="M42" s="367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9" t="s">
        <v>64</v>
      </c>
      <c r="J43" s="359" t="s">
        <v>65</v>
      </c>
      <c r="K43" s="359" t="s">
        <v>66</v>
      </c>
      <c r="L43" s="269" t="s">
        <v>67</v>
      </c>
      <c r="M43" s="269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7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9</v>
      </c>
      <c r="J45" s="85">
        <f t="shared" si="0"/>
        <v>27.000000000000004</v>
      </c>
      <c r="K45" s="86">
        <f t="shared" si="1"/>
        <v>116.99999999999999</v>
      </c>
      <c r="L45" s="86">
        <f>E45*10+F45*14+G45*12+H45*10</f>
        <v>202</v>
      </c>
      <c r="M45" s="238">
        <f t="shared" si="2"/>
        <v>85.000000000000014</v>
      </c>
    </row>
    <row r="46" spans="1:17" ht="12.75" customHeight="1" x14ac:dyDescent="0.15">
      <c r="A46" s="73"/>
      <c r="B46" s="73"/>
      <c r="C46" s="82" t="s">
        <v>21</v>
      </c>
      <c r="D46" s="277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7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8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8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8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8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8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8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8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8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8">
        <v>1</v>
      </c>
      <c r="E56" s="279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8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8">
        <v>1</v>
      </c>
      <c r="E58" s="279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8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>
        <v>10</v>
      </c>
      <c r="J59" s="85">
        <f t="shared" si="3"/>
        <v>25.200000000000003</v>
      </c>
      <c r="K59" s="86">
        <f t="shared" si="1"/>
        <v>109.19999999999999</v>
      </c>
      <c r="L59" s="86">
        <f t="shared" si="4"/>
        <v>78</v>
      </c>
      <c r="M59" s="240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8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8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1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8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8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33:J33 C14:D23 L14 E18:J18 I16:K16 C25:J25 E17:K17 I19:K19 G20:K21 E8:L8 K23:K26 E15:K15 E26:J26 C27:J28 K28:K33 C29:E29 H29:J29 E30:J30 E19:F24 C33:D36 E5:L5 E34:J34 F35:K35 E36:K36 F37:G37 I37:K38 C10:C12 D10 G22:J24 F13:K14 F12:H12 J12 L12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C1" zoomScale="111" zoomScaleNormal="111" workbookViewId="0">
      <selection activeCell="D5" sqref="D5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221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8" t="s">
        <v>29</v>
      </c>
      <c r="H4" s="298" t="s">
        <v>168</v>
      </c>
      <c r="I4" s="119" t="s">
        <v>44</v>
      </c>
      <c r="J4" s="298" t="s">
        <v>29</v>
      </c>
      <c r="K4" s="48"/>
      <c r="L4" s="27" t="s">
        <v>156</v>
      </c>
      <c r="M4" s="30"/>
      <c r="N4" s="274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362"/>
      <c r="D5" s="362"/>
      <c r="E5" s="298" t="s">
        <v>23</v>
      </c>
      <c r="F5" s="345" t="s">
        <v>19</v>
      </c>
      <c r="G5" s="48" t="s">
        <v>28</v>
      </c>
      <c r="H5" s="48" t="s">
        <v>28</v>
      </c>
      <c r="I5" s="193"/>
      <c r="J5" s="362"/>
      <c r="K5" s="33"/>
      <c r="L5" s="172" t="s">
        <v>156</v>
      </c>
      <c r="M5" s="34"/>
      <c r="N5" s="274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8" t="s">
        <v>48</v>
      </c>
      <c r="H6" s="298" t="s">
        <v>48</v>
      </c>
      <c r="I6" s="32"/>
      <c r="J6" s="48" t="s">
        <v>31</v>
      </c>
      <c r="K6" s="345"/>
      <c r="L6" s="172" t="s">
        <v>156</v>
      </c>
      <c r="M6" s="34"/>
      <c r="N6" s="274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4"/>
      <c r="G7" s="48" t="s">
        <v>31</v>
      </c>
      <c r="H7" s="345" t="s">
        <v>19</v>
      </c>
      <c r="I7" s="299"/>
      <c r="J7" s="298" t="s">
        <v>29</v>
      </c>
      <c r="K7" s="28"/>
      <c r="L7" s="172" t="s">
        <v>156</v>
      </c>
      <c r="M7" s="34"/>
      <c r="N7" s="274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8" t="s">
        <v>102</v>
      </c>
      <c r="H8" s="298" t="s">
        <v>102</v>
      </c>
      <c r="I8" s="27"/>
      <c r="J8" s="298" t="s">
        <v>44</v>
      </c>
      <c r="K8" s="36"/>
      <c r="L8" s="172" t="s">
        <v>156</v>
      </c>
      <c r="M8" s="34"/>
      <c r="N8" s="274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8" t="s">
        <v>44</v>
      </c>
      <c r="F9" s="298" t="s">
        <v>29</v>
      </c>
      <c r="G9" s="298" t="s">
        <v>29</v>
      </c>
      <c r="H9" s="300" t="s">
        <v>48</v>
      </c>
      <c r="I9" s="39"/>
      <c r="J9" s="301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2" t="s">
        <v>46</v>
      </c>
      <c r="I10" s="119" t="s">
        <v>23</v>
      </c>
      <c r="J10" s="301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8" t="s">
        <v>29</v>
      </c>
      <c r="H11" s="33" t="s">
        <v>27</v>
      </c>
      <c r="I11" s="119" t="s">
        <v>102</v>
      </c>
      <c r="J11" s="298" t="s">
        <v>29</v>
      </c>
      <c r="K11" s="28"/>
      <c r="L11" s="180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58" t="s">
        <v>22</v>
      </c>
      <c r="G12" s="298" t="s">
        <v>28</v>
      </c>
      <c r="H12" s="298" t="s">
        <v>28</v>
      </c>
      <c r="I12" s="32"/>
      <c r="J12" s="298" t="s">
        <v>44</v>
      </c>
      <c r="K12" s="33"/>
      <c r="L12" s="180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8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80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2" t="s">
        <v>21</v>
      </c>
      <c r="G14" s="298" t="s">
        <v>48</v>
      </c>
      <c r="H14" s="298" t="s">
        <v>48</v>
      </c>
      <c r="I14" s="32"/>
      <c r="J14" s="298" t="s">
        <v>29</v>
      </c>
      <c r="K14" s="28"/>
      <c r="L14" s="180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45" t="s">
        <v>19</v>
      </c>
      <c r="F15" s="298" t="s">
        <v>44</v>
      </c>
      <c r="G15" s="298" t="s">
        <v>44</v>
      </c>
      <c r="H15" s="366" t="s">
        <v>21</v>
      </c>
      <c r="I15" s="32"/>
      <c r="J15" s="358" t="s">
        <v>22</v>
      </c>
      <c r="K15" s="28"/>
      <c r="L15" s="180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298" t="s">
        <v>29</v>
      </c>
      <c r="F16" s="54" t="s">
        <v>37</v>
      </c>
      <c r="G16" s="139" t="s">
        <v>27</v>
      </c>
      <c r="H16" s="365" t="s">
        <v>23</v>
      </c>
      <c r="I16" s="39"/>
      <c r="J16" s="301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8" t="s">
        <v>48</v>
      </c>
      <c r="I17" s="119" t="s">
        <v>44</v>
      </c>
      <c r="J17" s="301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8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8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45" t="s">
        <v>19</v>
      </c>
      <c r="F19" s="298" t="s">
        <v>102</v>
      </c>
      <c r="G19" s="33" t="s">
        <v>42</v>
      </c>
      <c r="H19" s="33" t="s">
        <v>42</v>
      </c>
      <c r="I19" s="27"/>
      <c r="J19" s="298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8" t="s">
        <v>23</v>
      </c>
      <c r="G20" s="298" t="s">
        <v>23</v>
      </c>
      <c r="H20" s="142" t="s">
        <v>21</v>
      </c>
      <c r="I20" s="302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8" t="s">
        <v>32</v>
      </c>
      <c r="F21" s="298" t="s">
        <v>102</v>
      </c>
      <c r="G21" s="298" t="s">
        <v>102</v>
      </c>
      <c r="H21" s="48" t="s">
        <v>28</v>
      </c>
      <c r="I21" s="193"/>
      <c r="J21" s="358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8" t="s">
        <v>32</v>
      </c>
      <c r="F22" s="54" t="s">
        <v>42</v>
      </c>
      <c r="G22" s="54" t="s">
        <v>42</v>
      </c>
      <c r="H22" s="342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357" t="s">
        <v>22</v>
      </c>
      <c r="F23" s="298" t="s">
        <v>48</v>
      </c>
      <c r="G23" s="298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8" t="s">
        <v>32</v>
      </c>
      <c r="F24" s="298" t="s">
        <v>29</v>
      </c>
      <c r="G24" s="298" t="s">
        <v>29</v>
      </c>
      <c r="H24" s="342" t="s">
        <v>197</v>
      </c>
      <c r="I24" s="290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3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8" t="s">
        <v>44</v>
      </c>
      <c r="F25" s="298" t="s">
        <v>32</v>
      </c>
      <c r="G25" s="298" t="s">
        <v>32</v>
      </c>
      <c r="H25" s="298" t="s">
        <v>23</v>
      </c>
      <c r="I25" s="290" t="s">
        <v>168</v>
      </c>
      <c r="J25" s="28"/>
      <c r="K25" s="28"/>
      <c r="L25" s="304" t="s">
        <v>226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4" t="s">
        <v>34</v>
      </c>
      <c r="D26" s="254" t="s">
        <v>34</v>
      </c>
      <c r="E26" s="298" t="s">
        <v>23</v>
      </c>
      <c r="F26" s="298" t="s">
        <v>44</v>
      </c>
      <c r="G26" s="48" t="s">
        <v>28</v>
      </c>
      <c r="H26" s="48" t="s">
        <v>28</v>
      </c>
      <c r="I26" s="32"/>
      <c r="J26" s="358" t="s">
        <v>22</v>
      </c>
      <c r="K26" s="36"/>
      <c r="L26" s="304" t="s">
        <v>226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8" t="s">
        <v>32</v>
      </c>
      <c r="F27" s="298" t="s">
        <v>168</v>
      </c>
      <c r="G27" s="298" t="s">
        <v>168</v>
      </c>
      <c r="H27" s="358" t="s">
        <v>22</v>
      </c>
      <c r="I27" s="27"/>
      <c r="J27" s="298" t="s">
        <v>29</v>
      </c>
      <c r="K27" s="64"/>
      <c r="L27" s="304" t="s">
        <v>226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8" t="s">
        <v>23</v>
      </c>
      <c r="F28" s="298" t="s">
        <v>102</v>
      </c>
      <c r="G28" s="298" t="s">
        <v>102</v>
      </c>
      <c r="H28" s="298" t="s">
        <v>32</v>
      </c>
      <c r="I28" s="48"/>
      <c r="J28" s="298" t="s">
        <v>29</v>
      </c>
      <c r="K28" s="48"/>
      <c r="L28" s="304" t="s">
        <v>226</v>
      </c>
      <c r="M28" s="275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8" t="s">
        <v>168</v>
      </c>
      <c r="F29" s="357" t="s">
        <v>22</v>
      </c>
      <c r="G29" s="357" t="s">
        <v>22</v>
      </c>
      <c r="H29" s="298" t="s">
        <v>44</v>
      </c>
      <c r="I29" s="39"/>
      <c r="J29" s="39"/>
      <c r="K29" s="305"/>
      <c r="L29" s="306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8" t="s">
        <v>44</v>
      </c>
      <c r="F30" s="298" t="s">
        <v>23</v>
      </c>
      <c r="G30" s="298" t="s">
        <v>23</v>
      </c>
      <c r="H30" s="342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8" t="s">
        <v>32</v>
      </c>
      <c r="G31" s="298" t="s">
        <v>32</v>
      </c>
      <c r="H31" s="307" t="s">
        <v>36</v>
      </c>
      <c r="I31" s="290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64</v>
      </c>
      <c r="J36" s="359" t="s">
        <v>65</v>
      </c>
      <c r="K36" s="359" t="s">
        <v>66</v>
      </c>
      <c r="L36" s="269" t="s">
        <v>67</v>
      </c>
      <c r="M36" s="269" t="s">
        <v>68</v>
      </c>
    </row>
    <row r="37" spans="1:21" ht="12.75" customHeight="1" x14ac:dyDescent="0.15">
      <c r="A37" s="73"/>
      <c r="B37" s="73"/>
      <c r="C37" s="348" t="s">
        <v>38</v>
      </c>
      <c r="D37" s="349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48" t="s">
        <v>36</v>
      </c>
      <c r="D38" s="349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>
        <v>1</v>
      </c>
      <c r="J38" s="85">
        <f t="shared" si="0"/>
        <v>30.599999999999998</v>
      </c>
      <c r="K38" s="86">
        <f t="shared" si="1"/>
        <v>132.6</v>
      </c>
      <c r="L38" s="86">
        <f>E38*10+F38*14+G38*12+H38*10</f>
        <v>190</v>
      </c>
      <c r="M38" s="238">
        <f t="shared" si="2"/>
        <v>57.400000000000006</v>
      </c>
    </row>
    <row r="39" spans="1:21" ht="12" customHeight="1" x14ac:dyDescent="0.15">
      <c r="A39" s="73"/>
      <c r="B39" s="73"/>
      <c r="C39" s="348" t="s">
        <v>21</v>
      </c>
      <c r="D39" s="350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48" t="s">
        <v>31</v>
      </c>
      <c r="D40" s="350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2.8</v>
      </c>
      <c r="J40" s="85">
        <f t="shared" si="0"/>
        <v>21.888000000000002</v>
      </c>
      <c r="K40" s="86">
        <f t="shared" si="1"/>
        <v>90.48</v>
      </c>
      <c r="L40" s="86">
        <f>E40*10+F40*14+G40*12</f>
        <v>118</v>
      </c>
      <c r="M40" s="238">
        <f t="shared" si="2"/>
        <v>27.519999999999996</v>
      </c>
    </row>
    <row r="41" spans="1:21" ht="12" customHeight="1" x14ac:dyDescent="0.15">
      <c r="A41" s="3"/>
      <c r="B41" s="3"/>
      <c r="C41" s="317" t="s">
        <v>28</v>
      </c>
      <c r="D41" s="35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17" t="s">
        <v>42</v>
      </c>
      <c r="D42" s="35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17" t="s">
        <v>47</v>
      </c>
      <c r="D43" s="351">
        <v>0.5</v>
      </c>
      <c r="E43" s="84">
        <f>COUNTIF($C$4:$C$31,"TKATCHOUK")+COUNTIF($H$4:$H$31,"TKATCHOUK")+COUNTIF($F$4:$F$31,"TKATCHOUK")+COUNTIF($J$4:$J$31,"TKATCHOUK")</f>
        <v>1</v>
      </c>
      <c r="F43" s="84">
        <f>COUNTIF($D$4:$D$31,"TKATCHOUK")+COUNTIF($G$4:$G$31,"TKATCHOUK")</f>
        <v>0</v>
      </c>
      <c r="G43" s="84">
        <f>COUNTIF($E$4:$E$31,"TKATCHOUK")</f>
        <v>5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70</v>
      </c>
      <c r="M43" s="238">
        <f t="shared" si="2"/>
        <v>38.799999999999997</v>
      </c>
      <c r="N43" s="3"/>
    </row>
    <row r="44" spans="1:21" ht="12.75" customHeight="1" x14ac:dyDescent="0.15">
      <c r="A44" s="3"/>
      <c r="B44" s="3"/>
      <c r="C44" s="317" t="s">
        <v>20</v>
      </c>
      <c r="D44" s="351">
        <v>1</v>
      </c>
      <c r="E44" s="84">
        <f>COUNTIF($C$4:$C$31,"TORREGROSSA")+COUNTIF($H$4:$H$31,"TORREGROSSA")+COUNTIF($F$4:$F$31,"TORREGROSSA")+COUNTIF($J$4:$J$31,"TORREGROSSA")</f>
        <v>4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0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96</v>
      </c>
      <c r="M44" s="238">
        <f t="shared" si="2"/>
        <v>-5.4000000000000057</v>
      </c>
      <c r="N44" s="3"/>
    </row>
    <row r="45" spans="1:21" ht="12.75" customHeight="1" x14ac:dyDescent="0.15">
      <c r="A45" s="3"/>
      <c r="B45" s="3"/>
      <c r="C45" s="317" t="s">
        <v>19</v>
      </c>
      <c r="D45" s="351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17" t="s">
        <v>37</v>
      </c>
      <c r="D46" s="351">
        <v>0.4</v>
      </c>
      <c r="E46" s="84">
        <f>COUNTIF($C$4:$C$31,"MOREL")+COUNTIF($H$4:$H$31,"MOREL")+COUNTIF($F$4:$F$31,"MOREL")+COUNTIF($J$4:$J$31,"MOREL")</f>
        <v>3</v>
      </c>
      <c r="F46" s="84">
        <f>COUNTIF($D$4:$D$31,"MOREL")+COUNTIF($G$4:$G$31,"MOREL")</f>
        <v>0</v>
      </c>
      <c r="G46" s="84">
        <f>COUNTIF($E$4:$E$31,"MOREL")</f>
        <v>1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42</v>
      </c>
      <c r="M46" s="240">
        <f t="shared" si="2"/>
        <v>9.2399999999999949</v>
      </c>
      <c r="N46" s="3"/>
    </row>
    <row r="47" spans="1:21" ht="12" customHeight="1" x14ac:dyDescent="0.15">
      <c r="A47" s="3"/>
      <c r="B47" s="3"/>
      <c r="C47" s="317" t="s">
        <v>27</v>
      </c>
      <c r="D47" s="351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17" t="s">
        <v>34</v>
      </c>
      <c r="D48" s="351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17" t="s">
        <v>22</v>
      </c>
      <c r="D49" s="351">
        <v>1</v>
      </c>
      <c r="E49" s="84">
        <f>COUNTIF($C$4:$C$31,"HACHIMI")+COUNTIF($F$4:$F$31,"HACHIMI")+COUNTIF($H$4:$H$31,"HACHIMI")+COUNTIF($J$4:$J$31,"HACHIMI")+COUNTIF($I$4:$I$31,"HACHIMI")+H59</f>
        <v>6</v>
      </c>
      <c r="F49" s="84">
        <f>COUNTIF($D$4:$D$31,"HACHIMI")+COUNTIF($I$4:$I$31,"HACHIMI")+COUNTIF($G$4:$G$31,"HACHIMI")</f>
        <v>1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86</v>
      </c>
      <c r="M49" s="240">
        <f t="shared" si="2"/>
        <v>-54.400000000000006</v>
      </c>
    </row>
    <row r="50" spans="1:15" ht="12" customHeight="1" x14ac:dyDescent="0.15">
      <c r="A50" s="3"/>
      <c r="B50" s="3"/>
      <c r="C50" s="317" t="s">
        <v>29</v>
      </c>
      <c r="D50" s="351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148</v>
      </c>
      <c r="M50" s="240">
        <f t="shared" si="2"/>
        <v>7.5999999999999943</v>
      </c>
    </row>
    <row r="51" spans="1:15" ht="12" customHeight="1" x14ac:dyDescent="0.15">
      <c r="A51" s="3"/>
      <c r="B51" s="3"/>
      <c r="C51" s="317" t="s">
        <v>48</v>
      </c>
      <c r="D51" s="351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17" t="s">
        <v>44</v>
      </c>
      <c r="D52" s="351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>
        <v>2</v>
      </c>
      <c r="J52" s="85">
        <f t="shared" si="0"/>
        <v>28.799999999999997</v>
      </c>
      <c r="K52" s="86">
        <f t="shared" si="1"/>
        <v>124.80000000000001</v>
      </c>
      <c r="L52" s="86">
        <f t="shared" si="3"/>
        <v>148</v>
      </c>
      <c r="M52" s="240">
        <f t="shared" si="2"/>
        <v>23.199999999999989</v>
      </c>
    </row>
    <row r="53" spans="1:15" ht="12" customHeight="1" x14ac:dyDescent="0.15">
      <c r="A53" s="3"/>
      <c r="B53" s="3"/>
      <c r="C53" s="317" t="s">
        <v>23</v>
      </c>
      <c r="D53" s="351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17" t="s">
        <v>32</v>
      </c>
      <c r="D54" s="351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16" t="s">
        <v>102</v>
      </c>
      <c r="D55" s="351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18" t="s">
        <v>168</v>
      </c>
      <c r="D56" s="351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7" t="s">
        <v>66</v>
      </c>
      <c r="D57" s="160" t="s">
        <v>67</v>
      </c>
      <c r="E57" s="359" t="s">
        <v>68</v>
      </c>
      <c r="F57" s="72"/>
      <c r="G57" s="96"/>
      <c r="H57" s="308"/>
      <c r="I57" s="308"/>
      <c r="J57" s="308"/>
      <c r="K57" s="308"/>
      <c r="L57" s="57"/>
      <c r="M57" s="57"/>
      <c r="N57" s="57"/>
      <c r="O57" s="57"/>
    </row>
    <row r="58" spans="1:15" ht="12" customHeight="1" x14ac:dyDescent="0.15">
      <c r="A58" s="374" t="s">
        <v>38</v>
      </c>
      <c r="B58" s="374"/>
      <c r="C58" s="271">
        <f>SEPTEMBRE!K37+OCTOBRE!K37+NOVEMBRE!K44+DECEMBRE!K37</f>
        <v>569.4</v>
      </c>
      <c r="D58" s="102">
        <f>SEPTEMBRE!L37+OCTOBRE!L37+NOVEMBRE!L44+DECEMBRE!L37</f>
        <v>588</v>
      </c>
      <c r="E58" s="346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74" t="s">
        <v>36</v>
      </c>
      <c r="B59" s="374"/>
      <c r="C59" s="271">
        <f>SEPTEMBRE!K38+OCTOBRE!K38+NOVEMBRE!K45+DECEMBRE!K38</f>
        <v>436.79999999999995</v>
      </c>
      <c r="D59" s="102">
        <f>SEPTEMBRE!L38+OCTOBRE!L38+NOVEMBRE!L45+DECEMBRE!L38</f>
        <v>664</v>
      </c>
      <c r="E59" s="347">
        <f>D59-C59</f>
        <v>227.20000000000005</v>
      </c>
      <c r="F59" s="163">
        <f t="shared" si="4"/>
        <v>9.4666666666666686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74" t="s">
        <v>21</v>
      </c>
      <c r="B60" s="374"/>
      <c r="C60" s="271">
        <f>SEPTEMBRE!K39+OCTOBRE!K39+NOVEMBRE!K46+DECEMBRE!K39</f>
        <v>312</v>
      </c>
      <c r="D60" s="102">
        <f>SEPTEMBRE!L39+OCTOBRE!L39+NOVEMBRE!L46+DECEMBRE!L39</f>
        <v>370</v>
      </c>
      <c r="E60" s="347">
        <f>D60-C60</f>
        <v>58</v>
      </c>
      <c r="F60" s="163">
        <f t="shared" si="4"/>
        <v>2.4166666666666665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74" t="s">
        <v>31</v>
      </c>
      <c r="B61" s="374"/>
      <c r="C61" s="271">
        <f>SEPTEMBRE!K40+OCTOBRE!K40+NOVEMBRE!K47+DECEMBRE!K40</f>
        <v>418.08000000000004</v>
      </c>
      <c r="D61" s="102">
        <f>SEPTEMBRE!L40+OCTOBRE!L40+NOVEMBRE!L47+DECEMBRE!L40</f>
        <v>628</v>
      </c>
      <c r="E61" s="347">
        <f>D61-C61</f>
        <v>209.91999999999996</v>
      </c>
      <c r="F61" s="163">
        <f t="shared" si="4"/>
        <v>8.7466666666666644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73" t="s">
        <v>28</v>
      </c>
      <c r="B62" s="373"/>
      <c r="C62" s="271">
        <f>SEPTEMBRE!K41+OCTOBRE!K41+NOVEMBRE!K48+DECEMBRE!K41</f>
        <v>383.76</v>
      </c>
      <c r="D62" s="102">
        <f>SEPTEMBRE!L41+OCTOBRE!L41+NOVEMBRE!L48+DECEMBRE!L41</f>
        <v>422</v>
      </c>
      <c r="E62" s="347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73" t="s">
        <v>42</v>
      </c>
      <c r="B63" s="373"/>
      <c r="C63" s="271">
        <f>SEPTEMBRE!K42+OCTOBRE!K42+NOVEMBRE!K49+DECEMBRE!K42</f>
        <v>491.4</v>
      </c>
      <c r="D63" s="102">
        <f>SEPTEMBRE!L42+OCTOBRE!L42+NOVEMBRE!L49+DECEMBRE!L42</f>
        <v>488</v>
      </c>
      <c r="E63" s="361">
        <f>D63-C63-23.2</f>
        <v>-26.599999999999977</v>
      </c>
      <c r="F63" s="163">
        <f t="shared" si="4"/>
        <v>-1.1083333333333323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73" t="s">
        <v>47</v>
      </c>
      <c r="B64" s="373"/>
      <c r="C64" s="271">
        <f>SEPTEMBRE!K43+OCTOBRE!K43+NOVEMBRE!K50+DECEMBRE!K43</f>
        <v>202.8</v>
      </c>
      <c r="D64" s="102">
        <f>SEPTEMBRE!L43+OCTOBRE!L43+NOVEMBRE!L50+DECEMBRE!L43</f>
        <v>274</v>
      </c>
      <c r="E64" s="347">
        <f t="shared" ref="E64:E77" si="5">D64-C64</f>
        <v>71.199999999999989</v>
      </c>
      <c r="F64" s="163">
        <f t="shared" si="4"/>
        <v>2.9666666666666663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73" t="s">
        <v>20</v>
      </c>
      <c r="B65" s="373"/>
      <c r="C65" s="271">
        <f>SEPTEMBRE!K44+OCTOBRE!K44+NOVEMBRE!K51+DECEMBRE!K44</f>
        <v>499.19999999999993</v>
      </c>
      <c r="D65" s="102">
        <f>SEPTEMBRE!L44+OCTOBRE!L44+NOVEMBRE!L51+DECEMBRE!L44</f>
        <v>544</v>
      </c>
      <c r="E65" s="347">
        <f t="shared" si="5"/>
        <v>44.800000000000068</v>
      </c>
      <c r="F65" s="163">
        <f t="shared" si="4"/>
        <v>1.8666666666666696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73" t="s">
        <v>19</v>
      </c>
      <c r="B66" s="373"/>
      <c r="C66" s="271">
        <f>SEPTEMBRE!K45+OCTOBRE!K45+NOVEMBRE!K52+DECEMBRE!K45</f>
        <v>216.84</v>
      </c>
      <c r="D66" s="102">
        <f>SEPTEMBRE!L45+OCTOBRE!L45+NOVEMBRE!L52+DECEMBRE!L45</f>
        <v>224</v>
      </c>
      <c r="E66" s="347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73" t="s">
        <v>37</v>
      </c>
      <c r="B67" s="373"/>
      <c r="C67" s="271">
        <f>SEPTEMBRE!K46+OCTOBRE!K46+NOVEMBRE!K53+DECEMBRE!K46</f>
        <v>232.44</v>
      </c>
      <c r="D67" s="102">
        <f>SEPTEMBRE!L46+OCTOBRE!L46+NOVEMBRE!L53+DECEMBRE!L46</f>
        <v>242</v>
      </c>
      <c r="E67" s="347">
        <f t="shared" si="5"/>
        <v>9.5600000000000023</v>
      </c>
      <c r="F67" s="163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73" t="s">
        <v>27</v>
      </c>
      <c r="B68" s="373"/>
      <c r="C68" s="271">
        <f>SEPTEMBRE!K47+OCTOBRE!K47+NOVEMBRE!K54+DECEMBRE!K47</f>
        <v>455.52000000000004</v>
      </c>
      <c r="D68" s="102">
        <f>SEPTEMBRE!L47+OCTOBRE!L47+NOVEMBRE!L54+DECEMBRE!L47</f>
        <v>564</v>
      </c>
      <c r="E68" s="347">
        <f t="shared" si="5"/>
        <v>108.47999999999996</v>
      </c>
      <c r="F68" s="163">
        <f t="shared" si="4"/>
        <v>4.5199999999999987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73" t="s">
        <v>34</v>
      </c>
      <c r="B69" s="373"/>
      <c r="C69" s="271">
        <f>SEPTEMBRE!K48+OCTOBRE!K48+NOVEMBRE!K55+DECEMBRE!K48</f>
        <v>374.4</v>
      </c>
      <c r="D69" s="102">
        <f>SEPTEMBRE!L48+OCTOBRE!L48+NOVEMBRE!L55+DECEMBRE!L48</f>
        <v>426</v>
      </c>
      <c r="E69" s="347">
        <f t="shared" si="5"/>
        <v>51.600000000000023</v>
      </c>
      <c r="F69" s="163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73" t="s">
        <v>22</v>
      </c>
      <c r="B70" s="373"/>
      <c r="C70" s="271">
        <f>SEPTEMBRE!K49+OCTOBRE!K49+NOVEMBRE!K56+DECEMBRE!K49</f>
        <v>585</v>
      </c>
      <c r="D70" s="102">
        <f>SEPTEMBRE!L49+OCTOBRE!L49+NOVEMBRE!L56+DECEMBRE!L49</f>
        <v>586</v>
      </c>
      <c r="E70" s="347">
        <f t="shared" si="5"/>
        <v>1</v>
      </c>
      <c r="F70" s="163">
        <f t="shared" si="4"/>
        <v>4.1666666666666664E-2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73" t="s">
        <v>29</v>
      </c>
      <c r="B71" s="373"/>
      <c r="C71" s="271">
        <f>SEPTEMBRE!K50+OCTOBRE!K50+NOVEMBRE!K57+DECEMBRE!K50</f>
        <v>561.6</v>
      </c>
      <c r="D71" s="102">
        <f>SEPTEMBRE!L50+OCTOBRE!L50+NOVEMBRE!L57+DECEMBRE!L50</f>
        <v>606</v>
      </c>
      <c r="E71" s="347">
        <f t="shared" si="5"/>
        <v>44.399999999999977</v>
      </c>
      <c r="F71" s="163">
        <f t="shared" si="4"/>
        <v>1.849999999999999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73" t="s">
        <v>48</v>
      </c>
      <c r="B72" s="373"/>
      <c r="C72" s="271">
        <f>SEPTEMBRE!K51+OCTOBRE!K51+NOVEMBRE!K58+DECEMBRE!K51</f>
        <v>499.2</v>
      </c>
      <c r="D72" s="102">
        <f>SEPTEMBRE!L51+OCTOBRE!L51+NOVEMBRE!L58+DECEMBRE!L51</f>
        <v>536</v>
      </c>
      <c r="E72" s="347">
        <f t="shared" si="5"/>
        <v>36.800000000000011</v>
      </c>
      <c r="F72" s="163">
        <f t="shared" si="4"/>
        <v>1.5333333333333339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42.5</v>
      </c>
      <c r="K72" s="86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73" t="s">
        <v>44</v>
      </c>
      <c r="B73" s="373"/>
      <c r="C73" s="271">
        <f>SEPTEMBRE!K52+OCTOBRE!K52+NOVEMBRE!K59+DECEMBRE!K52</f>
        <v>546</v>
      </c>
      <c r="D73" s="102">
        <f>SEPTEMBRE!L52+OCTOBRE!L52+NOVEMBRE!L59+DECEMBRE!L52</f>
        <v>558</v>
      </c>
      <c r="E73" s="361">
        <f t="shared" si="5"/>
        <v>12</v>
      </c>
      <c r="F73" s="163">
        <f t="shared" si="4"/>
        <v>0.5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73" t="s">
        <v>23</v>
      </c>
      <c r="B74" s="373"/>
      <c r="C74" s="271">
        <f>SEPTEMBRE!K53+OCTOBRE!K53+NOVEMBRE!K60+DECEMBRE!K53</f>
        <v>530.4</v>
      </c>
      <c r="D74" s="102">
        <f>SEPTEMBRE!L53+OCTOBRE!L53+NOVEMBRE!L60+DECEMBRE!L53</f>
        <v>536</v>
      </c>
      <c r="E74" s="347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73" t="s">
        <v>32</v>
      </c>
      <c r="B75" s="373"/>
      <c r="C75" s="271">
        <f>SEPTEMBRE!K54+OCTOBRE!K54+NOVEMBRE!K61+DECEMBRE!K54</f>
        <v>507</v>
      </c>
      <c r="D75" s="102">
        <f>SEPTEMBRE!L54+OCTOBRE!L54+NOVEMBRE!L61+DECEMBRE!L54</f>
        <v>750</v>
      </c>
      <c r="E75" s="347">
        <f t="shared" si="5"/>
        <v>243</v>
      </c>
      <c r="F75" s="163">
        <f t="shared" si="4"/>
        <v>10.125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73" t="s">
        <v>102</v>
      </c>
      <c r="B76" s="373"/>
      <c r="C76" s="271">
        <f>SEPTEMBRE!K55+OCTOBRE!K55+NOVEMBRE!K62+DECEMBRE!K55</f>
        <v>546</v>
      </c>
      <c r="D76" s="102">
        <f>SEPTEMBRE!L55+OCTOBRE!L55+NOVEMBRE!L62+DECEMBRE!L55</f>
        <v>638</v>
      </c>
      <c r="E76" s="347">
        <f t="shared" si="5"/>
        <v>92</v>
      </c>
      <c r="F76" s="163">
        <f t="shared" si="4"/>
        <v>3.8333333333333335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72" t="s">
        <v>168</v>
      </c>
      <c r="B77" s="372"/>
      <c r="C77" s="271">
        <f>SEPTEMBRE!K56+OCTOBRE!K56+NOVEMBRE!K63+DECEMBRE!K56</f>
        <v>546</v>
      </c>
      <c r="D77" s="102">
        <f>SEPTEMBRE!L56+OCTOBRE!L56+NOVEMBRE!L63+DECEMBRE!L56</f>
        <v>616</v>
      </c>
      <c r="E77" s="347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17</v>
      </c>
      <c r="K77" s="86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32</v>
      </c>
      <c r="K86" s="86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7" t="s">
        <v>32</v>
      </c>
      <c r="H88" s="319">
        <v>100</v>
      </c>
      <c r="I88" s="320">
        <f t="shared" si="6"/>
        <v>44</v>
      </c>
      <c r="J88" s="320">
        <f>AOUT!J91+SEPTEMBRE!I54+OCTOBRE!I54+NOVEMBRE!I61+DECEMBRE!I54</f>
        <v>32</v>
      </c>
      <c r="K88" s="320">
        <f t="shared" si="7"/>
        <v>12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16" t="s">
        <v>102</v>
      </c>
      <c r="H89" s="317">
        <v>100</v>
      </c>
      <c r="I89" s="317">
        <f t="shared" si="6"/>
        <v>44</v>
      </c>
      <c r="J89" s="317">
        <f>AOUT!J92+SEPTEMBRE!I55+OCTOBRE!I55+NOVEMBRE!I62+DECEMBRE!I55</f>
        <v>12</v>
      </c>
      <c r="K89" s="317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18" t="s">
        <v>168</v>
      </c>
      <c r="H90" s="317">
        <v>100</v>
      </c>
      <c r="I90" s="317">
        <f t="shared" si="6"/>
        <v>44</v>
      </c>
      <c r="J90" s="317">
        <f>AOUT!J93+SEPTEMBRE!I56+OCTOBRE!I56+NOVEMBRE!I63+DECEMBRE!I56</f>
        <v>12</v>
      </c>
      <c r="K90" s="317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I13:K13 D5:L5 C30:D31 F6:L6 D6:D22 H16:K16 E9:K9 G18:J31 E11:K11 F4:L4 F10:K10 F14:K14 F8:L8 E7:L7 E16:F31 G17:K17 F12:K12 K19:K21 K23:K26 C25:D28 K28:K31 E13:G13 C4:C22 D4 E15:K15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AOUT!Zone_d_impression</vt:lpstr>
      <vt:lpstr>AVRIL!Zone_d_impression</vt:lpstr>
      <vt:lpstr>DECEMBRE!Zone_d_impression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2026-10-14T15:10:52Z</dcterms:modified>
  <cp:category/>
  <cp:contentStatus/>
</cp:coreProperties>
</file>