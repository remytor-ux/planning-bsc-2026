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0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93" documentId="11_82001204A17853BD4102BB3957D4EBE5562A03D3" xr6:coauthVersionLast="47" xr6:coauthVersionMax="47" xr10:uidLastSave="{B0D011E3-C8B8-CC43-A146-8945DBDD8636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<sst xmlns="http://schemas.openxmlformats.org/spreadsheetml/2006/main" count="4210" uniqueCount="223">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</sst>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8" t="s">
        <v>72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5"/>
      <c r="J44" s="365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101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77"/>
      <c r="N35" s="365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5"/>
      <c r="J37" s="365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5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8" t="s">
        <v>115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5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63</v>
      </c>
      <c r="J36" s="365" t="s">
        <v>64</v>
      </c>
      <c r="K36" s="365" t="s">
        <v>65</v>
      </c>
      <c r="L36" s="365" t="s">
        <v>66</v>
      </c>
      <c r="M36" s="77" t="s">
        <v>67</v>
      </c>
      <c r="N36" s="365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8" t="s">
        <v>134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71"/>
      <c r="Q2" s="37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5" t="s">
        <v>57</v>
      </c>
      <c r="M42" s="77"/>
      <c r="N42" s="365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63</v>
      </c>
      <c r="J43" s="365" t="s">
        <v>64</v>
      </c>
      <c r="K43" s="365" t="s">
        <v>65</v>
      </c>
      <c r="L43" s="365" t="s">
        <v>66</v>
      </c>
      <c r="M43" s="77" t="s">
        <v>67</v>
      </c>
      <c r="N43" s="365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8" t="s">
        <v>159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365" t="s">
        <v>67</v>
      </c>
      <c r="M36" s="365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1"/>
      <c r="I37" s="366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1">
        <f>COUNTIF($J$4:$J$31,"BRUGIROUX")</f>
        <v>0</v>
      </c>
      <c r="I38" s="366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1"/>
      <c r="I40" s="366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8" t="s">
        <v>174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5"/>
      <c r="J2" s="5"/>
      <c r="K2" s="6"/>
      <c r="L2" s="371" t="s">
        <v>4</v>
      </c>
      <c r="M2" s="371"/>
      <c r="N2" s="371"/>
      <c r="O2" s="37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1"/>
      <c r="O40" s="37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5" t="s">
        <v>64</v>
      </c>
      <c r="J41" s="365" t="s">
        <v>65</v>
      </c>
      <c r="K41" s="77" t="s">
        <v>66</v>
      </c>
      <c r="L41" s="365" t="s">
        <v>67</v>
      </c>
      <c r="M41" s="365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1"/>
      <c r="I42" s="366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1">
        <v>1</v>
      </c>
      <c r="I43" s="366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1"/>
      <c r="I45" s="366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6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6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6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6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F26" sqref="F26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189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33" t="s">
        <v>36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4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110</v>
      </c>
      <c r="M38" s="238">
        <f t="shared" si="2"/>
        <v>32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3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58</v>
      </c>
      <c r="M48" s="238">
        <f t="shared" si="2"/>
        <v>-20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9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172</v>
      </c>
      <c r="M52" s="238">
        <f t="shared" si="2"/>
        <v>16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H24:J25 G19:G20 E20:F20 C21:F21 C22:D22 F22:G25 E7:H7 H28 I14 C25:D28 D17:E19 J28:K28 H29:K29 J5:L7 D30:K30 H17 I18:J23 E28:G29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13" sqref="E13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199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8" t="s">
        <v>210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1" t="s">
        <v>53</v>
      </c>
      <c r="B40" s="371"/>
      <c r="C40" s="371"/>
      <c r="D40" s="37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5" t="s">
        <v>64</v>
      </c>
      <c r="J43" s="365" t="s">
        <v>65</v>
      </c>
      <c r="K43" s="365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8" t="s">
        <v>217</v>
      </c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9" t="s">
        <v>1</v>
      </c>
      <c r="D2" s="369"/>
      <c r="E2" s="4" t="s">
        <v>2</v>
      </c>
      <c r="F2" s="370" t="s">
        <v>3</v>
      </c>
      <c r="G2" s="370"/>
      <c r="H2" s="5"/>
      <c r="I2" s="6"/>
      <c r="J2" s="371" t="s">
        <v>4</v>
      </c>
      <c r="K2" s="371"/>
      <c r="L2" s="371"/>
      <c r="M2" s="371"/>
      <c r="N2" s="371"/>
      <c r="O2" s="37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1" t="s">
        <v>53</v>
      </c>
      <c r="B33" s="371"/>
      <c r="C33" s="371"/>
      <c r="D33" s="37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5" t="s">
        <v>64</v>
      </c>
      <c r="J36" s="365" t="s">
        <v>65</v>
      </c>
      <c r="K36" s="365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5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2" t="s">
        <v>38</v>
      </c>
      <c r="B58" s="372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2" t="s">
        <v>36</v>
      </c>
      <c r="B59" s="372"/>
      <c r="C59" s="272">
        <f>SEPTEMBRE!K38+OCTOBRE!K38+NOVEMBRE!K45+DECEMBRE!K38</f>
        <v>522.6</v>
      </c>
      <c r="D59" s="102">
        <f>SEPTEMBRE!L38+OCTOBRE!L38+NOVEMBRE!L45+DECEMBRE!L38</f>
        <v>664</v>
      </c>
      <c r="E59" s="353">
        <f>D59-C59</f>
        <v>141.39999999999998</v>
      </c>
      <c r="F59" s="163">
        <f t="shared" si="4"/>
        <v>5.8916666666666657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2" t="s">
        <v>21</v>
      </c>
      <c r="B60" s="372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2" t="s">
        <v>31</v>
      </c>
      <c r="B61" s="372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3" t="s">
        <v>28</v>
      </c>
      <c r="B62" s="373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3" t="s">
        <v>42</v>
      </c>
      <c r="B63" s="373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3" t="s">
        <v>47</v>
      </c>
      <c r="B64" s="373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3" t="s">
        <v>20</v>
      </c>
      <c r="B65" s="373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3" t="s">
        <v>19</v>
      </c>
      <c r="B66" s="373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3" t="s">
        <v>37</v>
      </c>
      <c r="B67" s="373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3" t="s">
        <v>27</v>
      </c>
      <c r="B68" s="373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3" t="s">
        <v>34</v>
      </c>
      <c r="B69" s="373"/>
      <c r="C69" s="272">
        <f>SEPTEMBRE!K48+OCTOBRE!K48+NOVEMBRE!K55+DECEMBRE!K48</f>
        <v>374.4</v>
      </c>
      <c r="D69" s="102">
        <f>SEPTEMBRE!L48+OCTOBRE!L48+NOVEMBRE!L55+DECEMBRE!L48</f>
        <v>426</v>
      </c>
      <c r="E69" s="353">
        <f t="shared" si="5"/>
        <v>51.600000000000023</v>
      </c>
      <c r="F69" s="163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3" t="s">
        <v>22</v>
      </c>
      <c r="B70" s="373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3" t="s">
        <v>29</v>
      </c>
      <c r="B71" s="373"/>
      <c r="C71" s="272">
        <f>SEPTEMBRE!K50+OCTOBRE!K50+NOVEMBRE!K57+DECEMBRE!K50</f>
        <v>561.6</v>
      </c>
      <c r="D71" s="102">
        <f>SEPTEMBRE!L50+OCTOBRE!L50+NOVEMBRE!L57+DECEMBRE!L50</f>
        <v>594</v>
      </c>
      <c r="E71" s="353">
        <f t="shared" si="5"/>
        <v>32.399999999999977</v>
      </c>
      <c r="F71" s="163">
        <f t="shared" si="4"/>
        <v>1.349999999999999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3" t="s">
        <v>48</v>
      </c>
      <c r="B72" s="373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3" t="s">
        <v>44</v>
      </c>
      <c r="B73" s="373"/>
      <c r="C73" s="272">
        <f>SEPTEMBRE!K52+OCTOBRE!K52+NOVEMBRE!K59+DECEMBRE!K52</f>
        <v>639.6</v>
      </c>
      <c r="D73" s="102">
        <f>SEPTEMBRE!L52+OCTOBRE!L52+NOVEMBRE!L59+DECEMBRE!L52</f>
        <v>558</v>
      </c>
      <c r="E73" s="240">
        <f t="shared" si="5"/>
        <v>-81.600000000000023</v>
      </c>
      <c r="F73" s="163">
        <f t="shared" si="4"/>
        <v>-3.4000000000000008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3" t="s">
        <v>23</v>
      </c>
      <c r="B74" s="373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3" t="s">
        <v>32</v>
      </c>
      <c r="B75" s="373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3" t="s">
        <v>102</v>
      </c>
      <c r="B76" s="373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4" t="s">
        <v>168</v>
      </c>
      <c r="B77" s="374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2026-09-23T14:13:01Z</dcterms:modified>
  <cp:category/>
  <cp:contentStatus/>
</cp:coreProperties>
</file>