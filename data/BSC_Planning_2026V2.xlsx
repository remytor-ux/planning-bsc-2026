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70" documentId="11_82001204A17853BD4102BB3957D4EBE5562A03D3" xr6:coauthVersionLast="47" xr6:coauthVersionMax="47" xr10:uidLastSave="{21CB159D-13E3-4688-93A7-70F947421119}"/>
  <bookViews>
    <workbookView xWindow="0" yWindow="660" windowWidth="29400" windowHeight="18460" tabRatio="500" firstSheet="10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67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<sst xmlns="http://schemas.openxmlformats.org/spreadsheetml/2006/main" count="4210" uniqueCount="227">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</sst>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3"/>
      <c r="P42" s="363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3"/>
      <c r="P43" s="363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2"/>
      <c r="J44" s="362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363"/>
      <c r="P35" s="363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2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363"/>
      <c r="P35" s="363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3"/>
      <c r="P36" s="363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3"/>
      <c r="P42" s="363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3"/>
      <c r="P43" s="363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7"/>
      <c r="O36" s="363"/>
    </row>
    <row r="37" spans="1:20" ht="12" customHeight="1">
      <c r="A37" s="73"/>
      <c r="B37" s="73"/>
      <c r="C37" s="160" t="s">
        <v>38</v>
      </c>
      <c r="D37" s="235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0"/>
      <c r="I37" s="361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0">
        <f>COUNTIF($J$4:$J$31,"BRUGIROUX")</f>
        <v>0</v>
      </c>
      <c r="I38" s="361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0"/>
      <c r="I40" s="361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0"/>
      <c r="I42" s="361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0">
        <v>1</v>
      </c>
      <c r="I43" s="361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0"/>
      <c r="I45" s="361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1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1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1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1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363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8" sqref="E2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321" t="s">
        <v>20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363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0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162</v>
      </c>
      <c r="M38" s="239">
        <f t="shared" si="2"/>
        <v>52.8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</v>
      </c>
      <c r="J40" s="84">
        <f t="shared" si="0"/>
        <v>24.48</v>
      </c>
      <c r="K40" s="85">
        <f t="shared" si="1"/>
        <v>101.4</v>
      </c>
      <c r="L40" s="85">
        <f>E40*10+F40*14+G40*12</f>
        <v>182</v>
      </c>
      <c r="M40" s="237">
        <f t="shared" si="2"/>
        <v>80.599999999999994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11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174</v>
      </c>
      <c r="M44" s="237">
        <f t="shared" si="2"/>
        <v>18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6</v>
      </c>
      <c r="J51" s="84">
        <f t="shared" si="3"/>
        <v>25.2</v>
      </c>
      <c r="K51" s="85">
        <f t="shared" si="1"/>
        <v>109.2</v>
      </c>
      <c r="L51" s="85">
        <f t="shared" si="4"/>
        <v>94</v>
      </c>
      <c r="M51" s="237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7</v>
      </c>
      <c r="J54" s="84">
        <f t="shared" si="3"/>
        <v>23.4</v>
      </c>
      <c r="K54" s="85">
        <f t="shared" si="1"/>
        <v>101.4</v>
      </c>
      <c r="L54" s="85">
        <f t="shared" si="4"/>
        <v>166</v>
      </c>
      <c r="M54" s="237">
        <f t="shared" si="2"/>
        <v>64.599999999999994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33" sqref="K3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212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8" t="s">
        <v>31</v>
      </c>
      <c r="D16" s="228" t="s">
        <v>31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363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64</v>
      </c>
      <c r="J43" s="362" t="s">
        <v>65</v>
      </c>
      <c r="K43" s="362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6</v>
      </c>
      <c r="F47" s="83">
        <f>COUNTIF($D$4:$D$38,"FONTAINE")+COUNTIF($G$4:$G$38,"FONTAINE")</f>
        <v>8</v>
      </c>
      <c r="G47" s="83">
        <f>COUNTIF($E$4:$E$38,"FONTAINE")</f>
        <v>2</v>
      </c>
      <c r="H47" s="81"/>
      <c r="I47" s="85">
        <v>3</v>
      </c>
      <c r="J47" s="84">
        <f t="shared" si="0"/>
        <v>30.240000000000002</v>
      </c>
      <c r="K47" s="85">
        <f t="shared" si="1"/>
        <v>126.35999999999999</v>
      </c>
      <c r="L47" s="85">
        <f>E47*10+F47*14+G47*12</f>
        <v>196</v>
      </c>
      <c r="M47" s="237">
        <f t="shared" si="2"/>
        <v>69.640000000000015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0.8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34.56</v>
      </c>
      <c r="K54" s="85">
        <f t="shared" si="1"/>
        <v>149.76</v>
      </c>
      <c r="L54" s="85">
        <f t="shared" si="4"/>
        <v>196</v>
      </c>
      <c r="M54" s="237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I13:K14 I19:K19 G20:K21 E8:L8 K23:K26 E15:K15 E26:J26 C27:J28 K28:K33 C29:E29 H29:J29 E30:J30 E19:F24 C33:D36 E5:L5 E34:J34 F35:K35 E36:K36 F37:G37 I37:K38 C10:C12 D10 G22:J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29" zoomScale="111" zoomScaleNormal="111" workbookViewId="0">
      <selection activeCell="H15" sqref="H1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221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59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141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297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363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0.8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21.312000000000001</v>
      </c>
      <c r="K47" s="85">
        <f t="shared" si="1"/>
        <v>87.360000000000014</v>
      </c>
      <c r="L47" s="85">
        <f t="shared" si="3"/>
        <v>124</v>
      </c>
      <c r="M47" s="237">
        <f t="shared" si="2"/>
        <v>36.639999999999986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2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69" t="s">
        <v>38</v>
      </c>
      <c r="B58" s="369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69" t="s">
        <v>36</v>
      </c>
      <c r="B59" s="369"/>
      <c r="C59" s="270">
        <f>SEPTEMBRE!K38+OCTOBRE!K38+NOVEMBRE!K45+DECEMBRE!K38</f>
        <v>436.79999999999995</v>
      </c>
      <c r="D59" s="101">
        <f>SEPTEMBRE!L38+OCTOBRE!L38+NOVEMBRE!L45+DECEMBRE!L38</f>
        <v>664</v>
      </c>
      <c r="E59" s="346">
        <f>D59-C59</f>
        <v>227.20000000000005</v>
      </c>
      <c r="F59" s="162">
        <f t="shared" si="4"/>
        <v>9.4666666666666686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69" t="s">
        <v>21</v>
      </c>
      <c r="B60" s="369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69" t="s">
        <v>31</v>
      </c>
      <c r="B61" s="369"/>
      <c r="C61" s="270">
        <f>SEPTEMBRE!K40+OCTOBRE!K40+NOVEMBRE!K47+DECEMBRE!K40</f>
        <v>418.08000000000004</v>
      </c>
      <c r="D61" s="101">
        <f>SEPTEMBRE!L40+OCTOBRE!L40+NOVEMBRE!L47+DECEMBRE!L40</f>
        <v>628</v>
      </c>
      <c r="E61" s="346">
        <f>D61-C61</f>
        <v>209.91999999999996</v>
      </c>
      <c r="F61" s="162">
        <f t="shared" si="4"/>
        <v>8.7466666666666644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0">
        <f>SEPTEMBRE!K47+OCTOBRE!K47+NOVEMBRE!K54+DECEMBRE!K47</f>
        <v>455.52000000000004</v>
      </c>
      <c r="D68" s="101">
        <f>SEPTEMBRE!L47+OCTOBRE!L47+NOVEMBRE!L54+DECEMBRE!L47</f>
        <v>564</v>
      </c>
      <c r="E68" s="346">
        <f t="shared" si="5"/>
        <v>108.47999999999996</v>
      </c>
      <c r="F68" s="162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0">
        <f>SEPTEMBRE!K51+OCTOBRE!K51+NOVEMBRE!K58+DECEMBRE!K51</f>
        <v>499.2</v>
      </c>
      <c r="D72" s="101">
        <f>SEPTEMBRE!L51+OCTOBRE!L51+NOVEMBRE!L58+DECEMBRE!L51</f>
        <v>536</v>
      </c>
      <c r="E72" s="346">
        <f t="shared" si="5"/>
        <v>36.800000000000011</v>
      </c>
      <c r="F72" s="162">
        <f t="shared" si="4"/>
        <v>1.5333333333333339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35.200000000000003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0">
        <f>SEPTEMBRE!K54+OCTOBRE!K54+NOVEMBRE!K61+DECEMBRE!K54</f>
        <v>507</v>
      </c>
      <c r="D75" s="101">
        <f>SEPTEMBRE!L54+OCTOBRE!L54+NOVEMBRE!L61+DECEMBRE!L54</f>
        <v>750</v>
      </c>
      <c r="E75" s="346">
        <f t="shared" si="5"/>
        <v>243</v>
      </c>
      <c r="F75" s="162">
        <f t="shared" si="4"/>
        <v>10.125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1" t="s">
        <v>168</v>
      </c>
      <c r="B77" s="371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24</v>
      </c>
      <c r="K85" s="85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32</v>
      </c>
      <c r="K88" s="319">
        <f t="shared" si="7"/>
        <v>12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2026-10-20T15:10:51Z</dcterms:modified>
  <cp:category/>
  <cp:contentStatus/>
</cp:coreProperties>
</file>