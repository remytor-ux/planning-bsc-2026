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36" documentId="11_82001204A17853BD4102BB3957D4EBE5562A03D3" xr6:coauthVersionLast="47" xr6:coauthVersionMax="47" xr10:uidLastSave="{FCF2D299-3C96-C84B-A269-86151CF597FD}"/>
  <bookViews>
    <workbookView xWindow="0" yWindow="0" windowWidth="25200" windowHeight="11865" tabRatio="500" firstSheet="9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<sst xmlns="http://schemas.openxmlformats.org/spreadsheetml/2006/main" count="4209" uniqueCount="223">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</sst>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3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6" t="s">
        <v>0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5"/>
      <c r="J2" s="5"/>
      <c r="K2" s="6"/>
      <c r="L2" s="369" t="s">
        <v>4</v>
      </c>
      <c r="M2" s="369"/>
      <c r="N2" s="369"/>
      <c r="O2" s="369"/>
      <c r="P2" s="369"/>
      <c r="Q2" s="36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9" t="s">
        <v>53</v>
      </c>
      <c r="B33" s="369"/>
      <c r="C33" s="369"/>
      <c r="D33" s="36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6" t="s">
        <v>72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5"/>
      <c r="J2" s="5"/>
      <c r="K2" s="6"/>
      <c r="L2" s="369" t="s">
        <v>4</v>
      </c>
      <c r="M2" s="369"/>
      <c r="N2" s="369"/>
      <c r="O2" s="369"/>
      <c r="P2" s="369"/>
      <c r="Q2" s="36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69" t="s">
        <v>53</v>
      </c>
      <c r="B33" s="369"/>
      <c r="C33" s="369"/>
      <c r="D33" s="36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6" t="s">
        <v>89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5"/>
      <c r="J2" s="5"/>
      <c r="K2" s="6"/>
      <c r="L2" s="369" t="s">
        <v>4</v>
      </c>
      <c r="M2" s="369"/>
      <c r="N2" s="369"/>
      <c r="O2" s="369"/>
      <c r="P2" s="369"/>
      <c r="Q2" s="36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9" t="s">
        <v>53</v>
      </c>
      <c r="B40" s="369"/>
      <c r="C40" s="369"/>
      <c r="D40" s="369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2"/>
      <c r="J44" s="362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6" t="s">
        <v>101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5"/>
      <c r="J2" s="5"/>
      <c r="K2" s="6"/>
      <c r="L2" s="369" t="s">
        <v>4</v>
      </c>
      <c r="M2" s="369"/>
      <c r="N2" s="369"/>
      <c r="O2" s="369"/>
      <c r="P2" s="369"/>
      <c r="Q2" s="36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69" t="s">
        <v>53</v>
      </c>
      <c r="B33" s="369"/>
      <c r="C33" s="369"/>
      <c r="D33" s="36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5" t="s">
        <v>57</v>
      </c>
      <c r="D60" s="365"/>
      <c r="E60" s="365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2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6" t="s">
        <v>115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5"/>
      <c r="J2" s="5"/>
      <c r="K2" s="6"/>
      <c r="L2" s="369" t="s">
        <v>4</v>
      </c>
      <c r="M2" s="369"/>
      <c r="N2" s="369"/>
      <c r="O2" s="369"/>
      <c r="P2" s="369"/>
      <c r="Q2" s="36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69" t="s">
        <v>53</v>
      </c>
      <c r="B33" s="369"/>
      <c r="C33" s="369"/>
      <c r="D33" s="369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2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6" t="s">
        <v>134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5"/>
      <c r="J2" s="5"/>
      <c r="K2" s="6"/>
      <c r="L2" s="369" t="s">
        <v>4</v>
      </c>
      <c r="M2" s="369"/>
      <c r="N2" s="369"/>
      <c r="O2" s="369"/>
      <c r="P2" s="369"/>
      <c r="Q2" s="369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69" t="s">
        <v>53</v>
      </c>
      <c r="B40" s="369"/>
      <c r="C40" s="369"/>
      <c r="D40" s="369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3">
        <f>COUNTIF($C$4:$C$38,"AZZEDINE")+COUNTIF($H$4:$H$38,"AZZEDINE")+COUNTIF($I$4:$I$38,"AZZEDINE")+COUNTIF($F$4:$F$38,"AZZEDINE")+D72</f>
        <v>3</v>
      </c>
      <c r="F63" s="363">
        <f>COUNTIF($D$4:$D$38,"AZZEDINE")+COUNTIF($H$4:$H$38,"AZZEDINE")+COUNTIF($G$4:$G$38,"AZZEDINE")</f>
        <v>0</v>
      </c>
      <c r="G63" s="363">
        <f>COUNTIF($E$4:$E$38,"AZZEDINE")</f>
        <v>0</v>
      </c>
      <c r="H63" s="363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6" t="s">
        <v>159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5"/>
      <c r="J2" s="5"/>
      <c r="K2" s="6"/>
      <c r="L2" s="369" t="s">
        <v>4</v>
      </c>
      <c r="M2" s="369"/>
      <c r="N2" s="369"/>
      <c r="O2" s="369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69" t="s">
        <v>53</v>
      </c>
      <c r="B33" s="369"/>
      <c r="C33" s="369"/>
      <c r="D33" s="369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362" t="s">
        <v>67</v>
      </c>
      <c r="M36" s="362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3">
        <f>COUNTIF($C$4:$C$31,"BOULAT")+COUNTIF($F$4:$F$31,"BOULAT")+COUNTIF($I$4:$I$31,"BOULAT")+COUNTIF($K$4:$K$31,"BOULAT")</f>
        <v>4</v>
      </c>
      <c r="F37" s="363">
        <f>COUNTIF($D$4:$D$31,"BOULAT")+COUNTIF($G$4:$G$31,"BOULAT")</f>
        <v>3</v>
      </c>
      <c r="G37" s="363">
        <f>COUNTIF($E$4:$E$31,"BOULAT")</f>
        <v>0</v>
      </c>
      <c r="H37" s="161"/>
      <c r="I37" s="363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3">
        <f>COUNTIF($C$4:$C$31,"BRUGIROUX")+COUNTIF($I$4:$I$31,"BRUGIROUX")+COUNTIF($F$4:$F$31,"BRUGIROUX")+COUNTIF($K$4:$K$31,"BRUGIROUX")</f>
        <v>5</v>
      </c>
      <c r="F38" s="363">
        <f>COUNTIF($D$4:$D$31,"BRUGIROUX")+COUNTIF($G$4:$G$31,"BRUGIROUX")</f>
        <v>8</v>
      </c>
      <c r="G38" s="363">
        <f>COUNTIF($E$4:$E$31,"BRUGIROUX")</f>
        <v>1</v>
      </c>
      <c r="H38" s="161">
        <f>COUNTIF($J$4:$J$31,"BRUGIROUX")</f>
        <v>0</v>
      </c>
      <c r="I38" s="363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3">
        <f>COUNTIF($C$4:$C$31,"CAUVY")+COUNTIF($F$4:$F$31,"CAUVY")+COUNTIF($I$4:$I$31,"CAUVY")+COUNTIF($K$4:$K$31,"CAUVY")</f>
        <v>4</v>
      </c>
      <c r="F39" s="363">
        <f>COUNTIF($D$4:$D$31,"CAUVY")+COUNTIF($G$4:$G$31,"CAUVY")</f>
        <v>0</v>
      </c>
      <c r="G39" s="363">
        <f>COUNTIF($E$4:$E$31,"CAUVY")</f>
        <v>1</v>
      </c>
      <c r="H39" s="363"/>
      <c r="I39" s="363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3">
        <f>COUNTIF($C$4:$C$31,"FONTAINE")+COUNTIF($I$4:$I$31,"FONTAINE")+COUNTIF($F$4:$F$31,"FONTAINE")+COUNTIF($K$4:$K$31,"FONTAINE")</f>
        <v>3</v>
      </c>
      <c r="F40" s="363">
        <f>COUNTIF($D$4:$D$31,"FONTAINE")+COUNTIF($G$4:$G$31,"FONTAINE")</f>
        <v>2</v>
      </c>
      <c r="G40" s="363">
        <f>COUNTIF($E$4:$E$31,"FONTAINE")</f>
        <v>0</v>
      </c>
      <c r="H40" s="161"/>
      <c r="I40" s="363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3">
        <f>COUNTIF($C$4:$C$31,"KANTCHE")+COUNTIF($I$4:$I$31,"KANTCHE")+COUNTIF($F$4:$F$31,"KANTCHE")+COUNTIF($K$4:$K$31,"KANTCHE")</f>
        <v>4</v>
      </c>
      <c r="F41" s="363">
        <f>COUNTIF($D$4:$D$31,"KANTCHE")+COUNTIF($G$4:$G$31,"KANTCHE")</f>
        <v>3</v>
      </c>
      <c r="G41" s="363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3">
        <f>COUNTIF($C$4:$C$31,"ORIOLI")+COUNTIF($I$4:$I$31,"ORIOLI")+COUNTIF($F$4:$F$31,"ORIOLI")+COUNTIF($K$4:$K$31,"ORIOLI")</f>
        <v>5</v>
      </c>
      <c r="F42" s="363">
        <f>COUNTIF($D$4:$D$31,"ORIOLI")+COUNTIF($G$4:$G$31,"ORIOLI")</f>
        <v>5</v>
      </c>
      <c r="G42" s="363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3">
        <f>COUNTIF($C$4:$C$31,"TKATCHOUK")+COUNTIF($I$4:$I$31,"TKATCHOUK")+COUNTIF($F$4:$F$31,"TKATCHOUK")+COUNTIF($K$4:$K$31,"TKATCHOUK")</f>
        <v>0</v>
      </c>
      <c r="F43" s="363">
        <f>COUNTIF($D$4:$D$31,"TKATCHOUK")+COUNTIF($G$4:$G$31,"TKATCHOUK")</f>
        <v>0</v>
      </c>
      <c r="G43" s="363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3">
        <f>COUNTIF($C$4:$C$31,"TORREGROSSA")+COUNTIF($I$4:$I$31,"TORREGROSSA")+COUNTIF($F$4:$F$31,"TORREGROSSA")+COUNTIF($K$4:$K$31,"TORREGROSSA")</f>
        <v>4</v>
      </c>
      <c r="F44" s="363">
        <f>COUNTIF($D$4:$D$31,"TORREGROSSA")+COUNTIF($G$4:$G$31,"TORREGROSSA")</f>
        <v>4</v>
      </c>
      <c r="G44" s="363">
        <f>COUNTIF($E$4:$E$31,"TORREGROSSA")</f>
        <v>0</v>
      </c>
      <c r="H44" s="363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3">
        <f>COUNTIF($C$4:$C$31,"BALLOT")+COUNTIF($F$4:$F$31,"BALLOT")+COUNTIF($I$4:$I$31,"BALLOT")+COUNTIF($K$4:$K$31,"BALLOT")</f>
        <v>2</v>
      </c>
      <c r="F45" s="363">
        <f>COUNTIF($D$4:$D$31,"BALLOT")+COUNTIF($G$4:$G$31,"BALLOT")</f>
        <v>0</v>
      </c>
      <c r="G45" s="363">
        <f>COUNTIF($E$4:$E$31,"BALLOT")</f>
        <v>3</v>
      </c>
      <c r="H45" s="363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3">
        <f>COUNTIF($C$4:$C$31,"MOREL")+COUNTIF($I$4:$I$31,"MOREL")+COUNTIF($F$4:$F$31,"MOREL")+COUNTIF($K$4:$K$31,"MOREL")</f>
        <v>5</v>
      </c>
      <c r="F46" s="363">
        <f>COUNTIF($D$4:$D$31,"MOREL")+COUNTIF($G$4:$G$31,"MOREL")</f>
        <v>0</v>
      </c>
      <c r="G46" s="363">
        <f>COUNTIF($E$4:$E$31,"MOREL")</f>
        <v>0</v>
      </c>
      <c r="H46" s="363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3">
        <f>COUNTIF($C$4:$C$31,"RACHIDI")+COUNTIF($I$4:$I$31,"RACHIDI")+COUNTIF($F$4:$F$31,"RACHIDI")+COUNTIF($K$4:$K$31,"RACHIDI")</f>
        <v>1</v>
      </c>
      <c r="F47" s="363">
        <f>COUNTIF($D$4:$D$31,"RACHIDI")+COUNTIF($G$4:$G$31,"RACHIDI")</f>
        <v>1</v>
      </c>
      <c r="G47" s="363">
        <f>COUNTIF($E$4:$E$31,"RACHIDI")</f>
        <v>0</v>
      </c>
      <c r="H47" s="363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3">
        <f>COUNTIF($C$4:$C$31,"ZEBICHE")+COUNTIF($F$4:$F$31,"ZEBICHE")+COUNTIF($I$4:$I$31,"ZEBICHE")+COUNTIF($K$4:$K$31,"ZEBICHE")</f>
        <v>9</v>
      </c>
      <c r="F48" s="363">
        <f>COUNTIF($D$4:$D$31,"ZEBICHE")+COUNTIF($G$4:$G$31,"ZEBICHE")</f>
        <v>9</v>
      </c>
      <c r="G48" s="363">
        <f>COUNTIF($E$4:$E$31,"ZEBICHE")</f>
        <v>0</v>
      </c>
      <c r="H48" s="363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3">
        <f>COUNTIF($C$4:$C$31,"HACHIMI")+COUNTIF($F$4:$F$31,"HACHIMI")+COUNTIF($H$4:$H$31,"HACHIMI")+COUNTIF($I$4:$I$31,"HACHIMI")+D58+COUNTIF($K$4:$K$31,"HACHIMI")</f>
        <v>8</v>
      </c>
      <c r="F49" s="363">
        <f>COUNTIF($D$4:$D$31,"HACHIMI")+COUNTIF($H$4:$H$31,"HACHIMI")+COUNTIF($G$4:$G$31,"HACHIMI")</f>
        <v>7</v>
      </c>
      <c r="G49" s="363">
        <f>COUNTIF($E$4:$E$31,"HACHIMI")</f>
        <v>2</v>
      </c>
      <c r="H49" s="363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3">
        <f>COUNTIF($C$4:$C$31,"BIENDOUX")+COUNTIF($H$4:$H$31,"BIENDOUX")+COUNTIF($I$4:$I$31,"BIENDOUX")+COUNTIF($F$4:$F$31,"BIENDOUX")+D59+COUNTIF($K$4:$K$31,"BIENDOUX")</f>
        <v>14</v>
      </c>
      <c r="F50" s="363">
        <v>4</v>
      </c>
      <c r="G50" s="363">
        <f>COUNTIF($E$4:$E$31,"BIENDOUX")</f>
        <v>0</v>
      </c>
      <c r="H50" s="363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3">
        <f>COUNTIF($C$4:$C$31,"AFZAL")+COUNTIF($H$4:$H$31,"AFZAL")+COUNTIF($I$4:$I$31,"AFZAL")+COUNTIF($F$4:$F$31,"AFZAL")+D60+COUNTIF($K$4:$K$31,"AFZAL")</f>
        <v>8</v>
      </c>
      <c r="F51" s="363">
        <v>9</v>
      </c>
      <c r="G51" s="363">
        <f>COUNTIF($E$4:$E$31,"AFZAL")</f>
        <v>1</v>
      </c>
      <c r="H51" s="363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3">
        <f>COUNTIF($C$4:$C$31,"IBRAHIM")+COUNTIF($H$4:$H$31,"IBRAHIM")+COUNTIF($I$4:$I$31,"IBRAHIM")+COUNTIF($K$4:$K$31,"IBRAHIM")+COUNTIF($F$4:$F$31,"IBRAHIM")+D61</f>
        <v>8</v>
      </c>
      <c r="F52" s="363">
        <v>6</v>
      </c>
      <c r="G52" s="363">
        <f>COUNTIF($E$4:$E$31,"IBRAHIM")</f>
        <v>3</v>
      </c>
      <c r="H52" s="363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3">
        <f>COUNTIF($C$4:$C$31,"IMAD")+COUNTIF($H$4:$H$31,"IMAD")+COUNTIF($I$4:$I$31,"IMAD")+COUNTIF($F$4:$F$31,"IMAD")+D62+COUNTIF($K$4:$K$31,"IMAD")</f>
        <v>6</v>
      </c>
      <c r="F53" s="363">
        <f>COUNTIF($D$4:$D$31,"IMAD")+COUNTIF($H$4:$H$31,"IMAD")+COUNTIF($G$4:$G$31,"IMAD")</f>
        <v>5</v>
      </c>
      <c r="G53" s="363">
        <f>COUNTIF($E$4:$E$31,"IMAD")</f>
        <v>1</v>
      </c>
      <c r="H53" s="363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3">
        <f>COUNTIF($C$4:$C$31,"RADO")+COUNTIF($H$4:$H$31,"RADO")+COUNTIF($I$4:$I$31,"RADO")+COUNTIF($F$4:$F$31,"RADO")+D63+COUNTIF($K$4:$K$31,"RADO")</f>
        <v>14</v>
      </c>
      <c r="F54" s="363">
        <f>COUNTIF($D$4:$D$31,"RADO")+COUNTIF($H$4:$H$31,"RADO")+COUNTIF($G$4:$G$31,"RADO")</f>
        <v>2</v>
      </c>
      <c r="G54" s="363">
        <f>COUNTIF($E$4:$E$31,"RADO")</f>
        <v>2</v>
      </c>
      <c r="H54" s="363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3">
        <f>COUNTIF($C$4:$C$31,"TODY")+COUNTIF($H$4:$H$31,"TODY")+COUNTIF($I$4:$I$31,"TODY")+COUNTIF($F$4:$F$31,"TODY")+D64+COUNTIF($K$4:$K$31,"TODY")</f>
        <v>11</v>
      </c>
      <c r="F55" s="363">
        <f>COUNTIF($D$4:$D$31,"TODY")+COUNTIF($H$4:$H$31,"TODY")+COUNTIF($G$4:$G$31,"TODY")</f>
        <v>2</v>
      </c>
      <c r="G55" s="363">
        <f>COUNTIF($E$4:$E$31,"TODY")</f>
        <v>2</v>
      </c>
      <c r="H55" s="363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3">
        <f>COUNTIF($C$4:$C$31,"RODRIGUE")+COUNTIF($H$4:$H$31,"RODRIGUE")+COUNTIF($I$4:$I$31,"RODRIGUE")+COUNTIF($F$4:$F$31,"RODRIGUE")+D65+COUNTIF($K$4:$K$31,"RODRIGUE")</f>
        <v>6</v>
      </c>
      <c r="F56" s="363">
        <f>COUNTIF($D$4:$D$31,"RODRIGUE")+COUNTIF($H$4:$H$31,"RODRIGUE")+COUNTIF($G$4:$G$31,"RODRIGUE")</f>
        <v>3</v>
      </c>
      <c r="G56" s="363">
        <f>COUNTIF($E$4:$E$31,"RODRIGUE")</f>
        <v>2</v>
      </c>
      <c r="H56" s="363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6" t="s">
        <v>174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5"/>
      <c r="J2" s="5"/>
      <c r="K2" s="6"/>
      <c r="L2" s="369" t="s">
        <v>4</v>
      </c>
      <c r="M2" s="369"/>
      <c r="N2" s="369"/>
      <c r="O2" s="369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69"/>
      <c r="O40" s="369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2" t="s">
        <v>64</v>
      </c>
      <c r="J41" s="362" t="s">
        <v>65</v>
      </c>
      <c r="K41" s="77" t="s">
        <v>66</v>
      </c>
      <c r="L41" s="362" t="s">
        <v>67</v>
      </c>
      <c r="M41" s="362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3">
        <f>COUNTIF($C$4:$C$38,"BOULAT")+COUNTIF($F$4:$F$38,"BOULAT")+COUNTIF($I$4:$I$38,"BOULAT")+COUNTIF($K$4:$K$38,"BOULAT")</f>
        <v>8</v>
      </c>
      <c r="F42" s="363">
        <f>COUNTIF($D$4:$D$38,"BOULAT")+COUNTIF($G$4:$G$38,"BOULAT")</f>
        <v>6</v>
      </c>
      <c r="G42" s="363">
        <f>COUNTIF($E$4:$E$38,"BOULAT")</f>
        <v>0</v>
      </c>
      <c r="H42" s="161"/>
      <c r="I42" s="363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3">
        <f>COUNTIF($C$4:$C$38,"BRUGIROUX")+COUNTIF($F$4:$F$38,"BRUGIROUX")+COUNTIF($I$4:$I$38,"BRUGIROUX")+COUNTIF($K$4:$K$38,"BRUGIROUX")</f>
        <v>7</v>
      </c>
      <c r="F43" s="363">
        <f>COUNTIF($D$4:$D$38,"BRUGIROUX")+COUNTIF($G$4:$G$38,"BRUGIROUX")</f>
        <v>10</v>
      </c>
      <c r="G43" s="363">
        <f>COUNTIF($E$4:$E$38,"BRUGIROUX")</f>
        <v>0</v>
      </c>
      <c r="H43" s="161">
        <v>1</v>
      </c>
      <c r="I43" s="363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3">
        <f>COUNTIF($C$4:$C$38,"CAUVY")+COUNTIF($F$4:$F$38,"CAUVY")+COUNTIF($I$4:$I$38,"CAUVY")+COUNTIF($K$4:$K$38,"CAUVY")</f>
        <v>2</v>
      </c>
      <c r="F44" s="363">
        <f>COUNTIF($D$4:$D$38,"CAUVY")+COUNTIF($G$4:$G$38,"CAUVY")</f>
        <v>0</v>
      </c>
      <c r="G44" s="363">
        <f>COUNTIF($E$4:$E$38,"CAUVY")</f>
        <v>1</v>
      </c>
      <c r="H44" s="363"/>
      <c r="I44" s="363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3">
        <f>COUNTIF($C$4:$C$38,"FONTAINE")+COUNTIF($F$4:$F$38,"FONTAINE")+COUNTIF($I$4:$I$38,"FONTAINE")+COUNTIF($K$4:$K$38,"FONTAINE")</f>
        <v>5</v>
      </c>
      <c r="F45" s="363">
        <f>COUNTIF($D$4:$D$38,"FONTAINE")+COUNTIF($G$4:$G$38,"FONTAINE")</f>
        <v>4</v>
      </c>
      <c r="G45" s="363">
        <f>COUNTIF($E$4:$E$38,"FONTAINE")</f>
        <v>1</v>
      </c>
      <c r="H45" s="161"/>
      <c r="I45" s="363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3">
        <f>COUNTIF($C$4:$C$38,"KANTCHE")+COUNTIF($F$4:$F$38,"KANTCHE")+COUNTIF($I$4:$I$38,"KANTCHE")+COUNTIF($K$4:$K$38,"KANTCHE")</f>
        <v>5</v>
      </c>
      <c r="F46" s="363">
        <f>COUNTIF($D$4:$D$38,"KANTCHE")+COUNTIF($G$4:$G$38,"KANTCHE")</f>
        <v>1</v>
      </c>
      <c r="G46" s="363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3">
        <f>COUNTIF($C$4:$C$38,"ORIOLI")+COUNTIF($F$4:$F$38,"ORIOLI")+COUNTIF($I$4:$I$38,"ORIOLI")+COUNTIF($K$4:$K$38,"ORIOLI")</f>
        <v>7</v>
      </c>
      <c r="F47" s="363">
        <f>COUNTIF($D$4:$D$38,"ORIOLI")+COUNTIF($G$4:$G$38,"ORIOLI")</f>
        <v>7</v>
      </c>
      <c r="G47" s="363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3">
        <f>COUNTIF($C$4:$C$38,"TKATCHOUK")+COUNTIF($F$4:$F$38,"TKATCHOUK")+COUNTIF($I$4:$I$38,"TKATCHOUK")+COUNTIF($K$4:$K$38,"TKATCHOUK")</f>
        <v>0</v>
      </c>
      <c r="F48" s="363">
        <f>COUNTIF($D$4:$D$38,"TKATCHOUK")+COUNTIF($G$4:$G$38,"TKATCHOUK")</f>
        <v>0</v>
      </c>
      <c r="G48" s="363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3">
        <f>COUNTIF($C$4:$C$38,"TORREGROSSA")+COUNTIF($F$4:$F$38,"TORREGROSSA")+COUNTIF($K$4:$K$38,"TORREGROSSA")+COUNTIF($I$4:$I$38,"TORREGROSSA")</f>
        <v>10</v>
      </c>
      <c r="F49" s="363">
        <f>COUNTIF($D$4:$D$38,"TORREGROSSA")+COUNTIF($G$4:$G$38,"TORREGROSSA")</f>
        <v>3</v>
      </c>
      <c r="G49" s="363">
        <f>COUNTIF($E$4:$E$38,"TORREGROSSA")</f>
        <v>0</v>
      </c>
      <c r="H49" s="363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3">
        <f>COUNTIF($C$4:$C$38,"BALLOT")+COUNTIF($F$4:$F$38,"BALLOT")+COUNTIF($I$4:$I$38,"BALLOT")+COUNTIF($K$4:$K$38,"BALLOT")</f>
        <v>1</v>
      </c>
      <c r="F50" s="363">
        <f>COUNTIF($D$4:$D$38,"BALLOT")+COUNTIF($G$4:$G$38,"BALLOT")</f>
        <v>0</v>
      </c>
      <c r="G50" s="363">
        <f>COUNTIF($E$4:$E$38,"BALLOT")</f>
        <v>2</v>
      </c>
      <c r="H50" s="363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3">
        <f>COUNTIF($C$4:$C$38,"MOREL")+COUNTIF($F$4:$F$38,"MOREL")+COUNTIF($I$4:$I$38,"MOREL")+COUNTIF($K$4:$K$38,"MOREL")</f>
        <v>8</v>
      </c>
      <c r="F51" s="363">
        <f>COUNTIF($D$4:$D$38,"MOREL")+COUNTIF($G$4:$G$38,"MOREL")</f>
        <v>0</v>
      </c>
      <c r="G51" s="363">
        <f>COUNTIF($E$4:$E$38,"MOREL")</f>
        <v>0</v>
      </c>
      <c r="H51" s="363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3">
        <f>COUNTIF($C$4:$C$38,"RACHIDI")+COUNTIF($F$4:$F$38,"RACHIDI")+COUNTIF($I$4:$I$38,"RACHIDI")+COUNTIF($K$4:$K$38,"RACHIDI")</f>
        <v>6</v>
      </c>
      <c r="F52" s="363">
        <f>COUNTIF($D$4:$D$38,"RACHIDI")+COUNTIF($G$4:$G$38,"RACHIDI")</f>
        <v>8</v>
      </c>
      <c r="G52" s="363">
        <f>COUNTIF($E$4:$E$38,"RACHIDI")</f>
        <v>0</v>
      </c>
      <c r="H52" s="363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3">
        <f>COUNTIF($C$4:$C$38,"ZEBICHE")+COUNTIF($F$4:$F$38,"ZEBICHE")+COUNTIF($I$4:$I$38,"ZEBICHE")+COUNTIF($K$4:$K$38,"ZEBICHE")</f>
        <v>9</v>
      </c>
      <c r="F53" s="363">
        <f>COUNTIF($D$4:$D$38,"ZEBICHE")+COUNTIF($G$4:$G$38,"ZEBICHE")</f>
        <v>9</v>
      </c>
      <c r="G53" s="363">
        <f>COUNTIF($E$4:$E$38,"ZEBICHE")</f>
        <v>0</v>
      </c>
      <c r="H53" s="363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3">
        <f>COUNTIF($C$4:$C$38,"HACHIMI")+COUNTIF($F$4:$F$38,"HACHIMI")+COUNTIF($H$4:$H$38,"HACHIMI")+COUNTIF($I$4:$I$38,"HACHIMI")+H65+COUNTIF($K$4:$K$38,"HACHIMI")</f>
        <v>5</v>
      </c>
      <c r="F54" s="363">
        <v>5</v>
      </c>
      <c r="G54" s="363">
        <f>COUNTIF($E$4:$E$38,"HACHIMI")</f>
        <v>0</v>
      </c>
      <c r="H54" s="363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3">
        <f>COUNTIF($C$4:$C$38,"BIENDOUX")+COUNTIF($F$4:$F$38,"BIENDOUX")+COUNTIF($H$4:$H$38,"BIENDOUX")+COUNTIF($I$4:$I$38,"BIENDOUX")+H66+COUNTIF($K$4:$K$38,"BIENDOUX")</f>
        <v>14</v>
      </c>
      <c r="F55" s="363">
        <v>5</v>
      </c>
      <c r="G55" s="363">
        <f>COUNTIF($E$4:$E$38,"BIENDOUX")</f>
        <v>1</v>
      </c>
      <c r="H55" s="363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3">
        <v>9</v>
      </c>
      <c r="G56" s="363">
        <f>COUNTIF($E$4:$E$38,"AFZAL")</f>
        <v>1</v>
      </c>
      <c r="H56" s="363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3">
        <v>8</v>
      </c>
      <c r="F57" s="363">
        <v>9</v>
      </c>
      <c r="G57" s="363">
        <f>COUNTIF($E$4:$E$38,"IBRAHIM")</f>
        <v>3</v>
      </c>
      <c r="H57" s="363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3">
        <f>COUNTIF($D$4:$D$38,"IMAD")+COUNTIF($H$4:$H$38,"IMAD")+COUNTIF($G$4:$G$38,"IMAD")</f>
        <v>3</v>
      </c>
      <c r="G58" s="363">
        <f>COUNTIF($E$4:$E$38,"IMAD")</f>
        <v>1</v>
      </c>
      <c r="H58" s="363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3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3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3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3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5" t="s">
        <v>57</v>
      </c>
      <c r="D63" s="365"/>
      <c r="E63" s="365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23" zoomScale="111" zoomScaleNormal="111" workbookViewId="0">
      <selection activeCell="I48" sqref="I4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6" t="s">
        <v>189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6"/>
      <c r="J2" s="369" t="s">
        <v>4</v>
      </c>
      <c r="K2" s="369"/>
      <c r="L2" s="369"/>
      <c r="M2" s="369"/>
      <c r="N2" s="369"/>
      <c r="O2" s="369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1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0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9" t="s">
        <v>53</v>
      </c>
      <c r="B33" s="369"/>
      <c r="C33" s="369"/>
      <c r="D33" s="369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365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0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206</v>
      </c>
      <c r="M55" s="238">
        <f t="shared" si="2"/>
        <v>73.400000000000006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 I14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zoomScale="112" zoomScaleNormal="112" workbookViewId="0">
      <selection activeCell="G4" sqref="G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6" t="s">
        <v>199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6"/>
      <c r="J2" s="369" t="s">
        <v>4</v>
      </c>
      <c r="K2" s="369"/>
      <c r="L2" s="369"/>
      <c r="M2" s="369"/>
      <c r="N2" s="369"/>
      <c r="O2" s="369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29</v>
      </c>
      <c r="G4" s="51" t="s">
        <v>29</v>
      </c>
      <c r="H4" s="36" t="s">
        <v>21</v>
      </c>
      <c r="I4" s="119" t="s">
        <v>44</v>
      </c>
      <c r="J4" s="190" t="s">
        <v>31</v>
      </c>
      <c r="K4" s="28"/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2" t="s">
        <v>20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69" t="s">
        <v>53</v>
      </c>
      <c r="B33" s="369"/>
      <c r="C33" s="369"/>
      <c r="D33" s="369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5" t="s">
        <v>57</v>
      </c>
      <c r="M35" s="365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10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188</v>
      </c>
      <c r="M44" s="238">
        <f t="shared" si="2"/>
        <v>32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5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172</v>
      </c>
      <c r="M50" s="238">
        <f t="shared" si="2"/>
        <v>16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4</v>
      </c>
      <c r="F51" s="84">
        <f>COUNTIF($D$4:$D$31,"AFZAL")+COUNTIF($I$4:$I$31,"AFZAL")+COUNTIF($G$4:$G$31,"AFZAL")</f>
        <v>3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94</v>
      </c>
      <c r="M51" s="238">
        <f t="shared" si="2"/>
        <v>-15.200000000000003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C5:I5 C13:I13 F8:J12 C6:D6 C22:D22 M6:M7 C7:C9 E7:I7 D8:D9 E18:E21 K9:K11 M9:M17 L5:L8 I15:L15 F15 L11:L14 C16:D18 H16:K16 E17:K17 F6:I6 F14:K14 F19:J20 F21:F24 I21 K21 J31:L31 C23:C24 G22:J22 E23:E24 G23 I23:K23 D24 H24:K24 E25:K25 H18:J18 J28:K30 C26:I31 F4:L4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6" t="s">
        <v>210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6"/>
      <c r="J2" s="369" t="s">
        <v>4</v>
      </c>
      <c r="K2" s="369"/>
      <c r="L2" s="369"/>
      <c r="M2" s="369"/>
      <c r="N2" s="369"/>
      <c r="O2" s="369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69" t="s">
        <v>53</v>
      </c>
      <c r="B40" s="369"/>
      <c r="C40" s="369"/>
      <c r="D40" s="369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5" t="s">
        <v>57</v>
      </c>
      <c r="M42" s="365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64</v>
      </c>
      <c r="J43" s="362" t="s">
        <v>65</v>
      </c>
      <c r="K43" s="362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4" zoomScale="111" zoomScaleNormal="111" workbookViewId="0">
      <selection activeCell="H10" sqref="H10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6" t="s">
        <v>217</v>
      </c>
      <c r="B1" s="366"/>
      <c r="C1" s="366"/>
      <c r="D1" s="366"/>
      <c r="E1" s="366"/>
      <c r="F1" s="366"/>
      <c r="G1" s="366"/>
      <c r="H1" s="366"/>
      <c r="I1" s="366"/>
      <c r="J1" s="366"/>
      <c r="K1" s="366"/>
      <c r="L1" s="366"/>
      <c r="M1" s="366"/>
      <c r="N1" s="366"/>
      <c r="O1" s="366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67" t="s">
        <v>1</v>
      </c>
      <c r="D2" s="367"/>
      <c r="E2" s="4" t="s">
        <v>2</v>
      </c>
      <c r="F2" s="368" t="s">
        <v>3</v>
      </c>
      <c r="G2" s="368"/>
      <c r="H2" s="5"/>
      <c r="I2" s="6"/>
      <c r="J2" s="369" t="s">
        <v>4</v>
      </c>
      <c r="K2" s="369"/>
      <c r="L2" s="369"/>
      <c r="M2" s="369"/>
      <c r="N2" s="369"/>
      <c r="O2" s="369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64"/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69" t="s">
        <v>53</v>
      </c>
      <c r="B33" s="369"/>
      <c r="C33" s="369"/>
      <c r="D33" s="369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5" t="s">
        <v>57</v>
      </c>
      <c r="M35" s="365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2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70" t="s">
        <v>38</v>
      </c>
      <c r="B58" s="370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70" t="s">
        <v>36</v>
      </c>
      <c r="B59" s="370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70" t="s">
        <v>21</v>
      </c>
      <c r="B60" s="370"/>
      <c r="C60" s="272">
        <f>SEPTEMBRE!K39+OCTOBRE!K39+NOVEMBRE!K46+DECEMBRE!K39</f>
        <v>312</v>
      </c>
      <c r="D60" s="102">
        <f>SEPTEMBRE!L39+OCTOBRE!L39+NOVEMBRE!L46+DECEMBRE!L39</f>
        <v>358</v>
      </c>
      <c r="E60" s="355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70" t="s">
        <v>31</v>
      </c>
      <c r="B61" s="370"/>
      <c r="C61" s="272">
        <f>SEPTEMBRE!K40+OCTOBRE!K40+NOVEMBRE!K47+DECEMBRE!K40</f>
        <v>418.08</v>
      </c>
      <c r="D61" s="102">
        <f>SEPTEMBRE!L40+OCTOBRE!L40+NOVEMBRE!L47+DECEMBRE!L40</f>
        <v>628</v>
      </c>
      <c r="E61" s="355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71" t="s">
        <v>28</v>
      </c>
      <c r="B62" s="371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71" t="s">
        <v>42</v>
      </c>
      <c r="B63" s="371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71" t="s">
        <v>47</v>
      </c>
      <c r="B64" s="371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71" t="s">
        <v>20</v>
      </c>
      <c r="B65" s="371"/>
      <c r="C65" s="272">
        <f>SEPTEMBRE!K44+OCTOBRE!K44+NOVEMBRE!K51+DECEMBRE!K44</f>
        <v>499.19999999999993</v>
      </c>
      <c r="D65" s="102">
        <f>SEPTEMBRE!L44+OCTOBRE!L44+NOVEMBRE!L51+DECEMBRE!L44</f>
        <v>578</v>
      </c>
      <c r="E65" s="355">
        <f t="shared" si="5"/>
        <v>78.800000000000068</v>
      </c>
      <c r="F65" s="163">
        <f t="shared" si="4"/>
        <v>3.2833333333333363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71" t="s">
        <v>19</v>
      </c>
      <c r="B66" s="371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71" t="s">
        <v>37</v>
      </c>
      <c r="B67" s="371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71" t="s">
        <v>27</v>
      </c>
      <c r="B68" s="371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5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71" t="s">
        <v>34</v>
      </c>
      <c r="B69" s="371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71" t="s">
        <v>22</v>
      </c>
      <c r="B70" s="371"/>
      <c r="C70" s="272">
        <f>SEPTEMBRE!K49+OCTOBRE!K49+NOVEMBRE!K56+DECEMBRE!K49</f>
        <v>585</v>
      </c>
      <c r="D70" s="102">
        <f>SEPTEMBRE!L49+OCTOBRE!L49+NOVEMBRE!L56+DECEMBRE!L49</f>
        <v>618</v>
      </c>
      <c r="E70" s="355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71" t="s">
        <v>29</v>
      </c>
      <c r="B71" s="371"/>
      <c r="C71" s="272">
        <f>SEPTEMBRE!K50+OCTOBRE!K50+NOVEMBRE!K57+DECEMBRE!K50</f>
        <v>561.6</v>
      </c>
      <c r="D71" s="102">
        <f>SEPTEMBRE!L50+OCTOBRE!L50+NOVEMBRE!L57+DECEMBRE!L50</f>
        <v>582</v>
      </c>
      <c r="E71" s="355">
        <f t="shared" si="5"/>
        <v>20.399999999999977</v>
      </c>
      <c r="F71" s="163">
        <f t="shared" si="4"/>
        <v>0.84999999999999909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71" t="s">
        <v>48</v>
      </c>
      <c r="B72" s="371"/>
      <c r="C72" s="272">
        <f>SEPTEMBRE!K51+OCTOBRE!K51+NOVEMBRE!K58+DECEMBRE!K51</f>
        <v>499.2</v>
      </c>
      <c r="D72" s="102">
        <f>SEPTEMBRE!L51+OCTOBRE!L51+NOVEMBRE!L58+DECEMBRE!L51</f>
        <v>488</v>
      </c>
      <c r="E72" s="355">
        <f t="shared" si="5"/>
        <v>-11.199999999999989</v>
      </c>
      <c r="F72" s="163">
        <f t="shared" si="4"/>
        <v>-0.46666666666666617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71" t="s">
        <v>44</v>
      </c>
      <c r="B73" s="371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71" t="s">
        <v>23</v>
      </c>
      <c r="B74" s="371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71" t="s">
        <v>32</v>
      </c>
      <c r="B75" s="371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5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71" t="s">
        <v>102</v>
      </c>
      <c r="B76" s="371"/>
      <c r="C76" s="272">
        <f>SEPTEMBRE!K55+OCTOBRE!K55+NOVEMBRE!K62+DECEMBRE!K55</f>
        <v>546</v>
      </c>
      <c r="D76" s="102">
        <f>SEPTEMBRE!L55+OCTOBRE!L55+NOVEMBRE!L62+DECEMBRE!L55</f>
        <v>628</v>
      </c>
      <c r="E76" s="355">
        <f t="shared" si="5"/>
        <v>82</v>
      </c>
      <c r="F76" s="163">
        <f t="shared" si="4"/>
        <v>3.4166666666666665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72" t="s">
        <v>168</v>
      </c>
      <c r="B77" s="372"/>
      <c r="C77" s="272">
        <f>SEPTEMBRE!K56+OCTOBRE!K56+NOVEMBRE!K63+DECEMBRE!K56</f>
        <v>546</v>
      </c>
      <c r="D77" s="102">
        <f>SEPTEMBRE!L56+OCTOBRE!L56+NOVEMBRE!L63+DECEMBRE!L56</f>
        <v>616</v>
      </c>
      <c r="E77" s="355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2026-09-11T12:03:34Z</dcterms:modified>
  <cp:category/>
  <cp:contentStatus/>
</cp:coreProperties>
</file>