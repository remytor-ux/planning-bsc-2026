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83" documentId="11_82001204A17853BD4102BB3957D4EBE5562A03D3" xr6:coauthVersionLast="47" xr6:coauthVersionMax="47" xr10:uidLastSave="{E1A3922A-8789-4C8B-B49B-87DA1FED99F8}"/>
  <bookViews>
    <workbookView xWindow="0" yWindow="0" windowWidth="25200" windowHeight="11865" tabRatio="500" firstSheet="8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<sst xmlns="http://schemas.openxmlformats.org/spreadsheetml/2006/main" count="4198" uniqueCount="220">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</sst>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6" fillId="2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5" t="s">
        <v>0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5" t="s">
        <v>72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89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8" t="s">
        <v>53</v>
      </c>
      <c r="B40" s="348"/>
      <c r="C40" s="348"/>
      <c r="D40" s="34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101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4" t="s">
        <v>57</v>
      </c>
      <c r="D60" s="344"/>
      <c r="E60" s="34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5" t="s">
        <v>115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5" t="s">
        <v>134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8" t="s">
        <v>53</v>
      </c>
      <c r="B40" s="348"/>
      <c r="C40" s="348"/>
      <c r="D40" s="34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5" t="s">
        <v>159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zoomScale="111" zoomScaleNormal="111" workbookViewId="0">
      <selection activeCell="J29" sqref="J2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5" t="s">
        <v>174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</row>
    <row r="2" spans="1:20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1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43"/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7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8"/>
      <c r="O40" s="348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10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220</v>
      </c>
      <c r="M43" s="238">
        <f t="shared" si="2"/>
        <v>25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5</v>
      </c>
      <c r="F45" s="341">
        <f>COUNTIF($D$4:$D$38,"FONTAINE")+COUNTIF($G$4:$G$38,"FONTAINE")</f>
        <v>4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10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9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192</v>
      </c>
      <c r="M61" s="238">
        <f t="shared" si="2"/>
        <v>-3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4" t="s">
        <v>57</v>
      </c>
      <c r="D63" s="344"/>
      <c r="E63" s="34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830</v>
      </c>
      <c r="E66" s="238">
        <f>D66-C66</f>
        <v>182.60000000000002</v>
      </c>
      <c r="F66" s="163">
        <f>E66/24</f>
        <v>7.6083333333333343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486</v>
      </c>
      <c r="E68" s="238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422</v>
      </c>
      <c r="E69" s="2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168</v>
      </c>
      <c r="C84" s="102">
        <f>MAI!L56+JUILLET!K56+AOUT!K61</f>
        <v>261.89999999999998</v>
      </c>
      <c r="D84" s="102">
        <f>MAI!M56+JUILLET!L56+AOUT!L61</f>
        <v>318</v>
      </c>
      <c r="E84" s="238">
        <f>D84-C84-(20.4)</f>
        <v>35.700000000000024</v>
      </c>
      <c r="F84" s="163">
        <f t="shared" si="4"/>
        <v>1.4875000000000009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C24:D38 J25:J27 G30:K30 G31:H31 J31:K31 F32:G33 I32:K32 I33:J33 E34:G34 I34:K38 F35:G35 E36:G37 G28:I28 E25:I26 E27:F31 G27:H27 G29:H29 K29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J26" sqref="J2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189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6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168</v>
      </c>
      <c r="I22" s="32"/>
      <c r="J22" s="339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9"/>
      <c r="K26" s="36"/>
      <c r="L26" s="278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2"/>
      <c r="H27" s="104" t="s">
        <v>168</v>
      </c>
      <c r="I27" s="27"/>
      <c r="J27" s="342"/>
      <c r="K27" s="64"/>
      <c r="L27" s="278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4" t="s">
        <v>57</v>
      </c>
      <c r="M35" s="34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E20" sqref="E2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5" t="s">
        <v>196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20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7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205</v>
      </c>
      <c r="M26" s="30"/>
      <c r="N26" s="277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7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7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7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4" t="s">
        <v>57</v>
      </c>
      <c r="M35" s="344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F6:I6 F14:K14 F19:J20 F21:F24 I21 K21 J31:L31 C23:C24 G22:J22 E23:E24 G23 I23:K23 D24 H24:K24 E25:K25 H18:J18 C27:I31 J28:K30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5" t="s">
        <v>207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209</v>
      </c>
      <c r="J4" s="27" t="s">
        <v>38</v>
      </c>
      <c r="K4" s="28"/>
      <c r="L4" s="172" t="s">
        <v>210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209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209</v>
      </c>
      <c r="J11" s="24" t="s">
        <v>29</v>
      </c>
      <c r="K11" s="28"/>
      <c r="L11" s="172" t="s">
        <v>210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209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209</v>
      </c>
      <c r="J18" s="24" t="s">
        <v>48</v>
      </c>
      <c r="K18" s="32"/>
      <c r="L18" s="30" t="s">
        <v>156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6"/>
      <c r="P20" s="320"/>
      <c r="Q20" s="314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212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212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168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213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8" t="s">
        <v>53</v>
      </c>
      <c r="B40" s="348"/>
      <c r="C40" s="348"/>
      <c r="D40" s="34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4" t="s">
        <v>57</v>
      </c>
      <c r="M42" s="344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214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168</v>
      </c>
      <c r="I4" s="119" t="s">
        <v>44</v>
      </c>
      <c r="J4" s="301" t="s">
        <v>29</v>
      </c>
      <c r="K4" s="48" t="s">
        <v>20</v>
      </c>
      <c r="L4" s="27" t="s">
        <v>156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156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156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156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168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168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168</v>
      </c>
      <c r="J25" s="329"/>
      <c r="K25" s="28"/>
      <c r="L25" s="307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168</v>
      </c>
      <c r="G27" s="301" t="s">
        <v>168</v>
      </c>
      <c r="H27" s="301" t="s">
        <v>22</v>
      </c>
      <c r="I27" s="27"/>
      <c r="J27" s="301" t="s">
        <v>29</v>
      </c>
      <c r="K27" s="64"/>
      <c r="L27" s="307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219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168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4" t="s">
        <v>57</v>
      </c>
      <c r="M35" s="34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49" t="s">
        <v>38</v>
      </c>
      <c r="B58" s="349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9" t="s">
        <v>36</v>
      </c>
      <c r="B59" s="349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9" t="s">
        <v>21</v>
      </c>
      <c r="B60" s="349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9" t="s">
        <v>31</v>
      </c>
      <c r="B61" s="349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0" t="s">
        <v>28</v>
      </c>
      <c r="B62" s="350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0" t="s">
        <v>42</v>
      </c>
      <c r="B63" s="350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0" t="s">
        <v>47</v>
      </c>
      <c r="B64" s="350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0" t="s">
        <v>20</v>
      </c>
      <c r="B65" s="350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0" t="s">
        <v>19</v>
      </c>
      <c r="B66" s="350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0" t="s">
        <v>37</v>
      </c>
      <c r="B67" s="350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0" t="s">
        <v>27</v>
      </c>
      <c r="B68" s="350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0" t="s">
        <v>34</v>
      </c>
      <c r="B69" s="350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0" t="s">
        <v>22</v>
      </c>
      <c r="B70" s="350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0" t="s">
        <v>29</v>
      </c>
      <c r="B71" s="350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0" t="s">
        <v>48</v>
      </c>
      <c r="B72" s="350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0" t="s">
        <v>44</v>
      </c>
      <c r="B73" s="350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0" t="s">
        <v>23</v>
      </c>
      <c r="B74" s="350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0" t="s">
        <v>32</v>
      </c>
      <c r="B75" s="350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0" t="s">
        <v>102</v>
      </c>
      <c r="B76" s="350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1" t="s">
        <v>168</v>
      </c>
      <c r="B77" s="351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168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2026-08-24T10:16:45Z</dcterms:modified>
  <cp:category/>
  <cp:contentStatus/>
</cp:coreProperties>
</file>