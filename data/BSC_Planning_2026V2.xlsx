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79" documentId="11_82001204A17853BD4102BB3957D4EBE5562A03D3" xr6:coauthVersionLast="47" xr6:coauthVersionMax="47" xr10:uidLastSave="{6662D581-318F-F243-8692-306ACB710EC1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<sst xmlns="http://schemas.openxmlformats.org/spreadsheetml/2006/main" count="4200" uniqueCount="220">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</sst>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6" fillId="27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43" t="s">
        <v>134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43" t="s">
        <v>159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9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43" t="s">
        <v>174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51"/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31</v>
      </c>
      <c r="D29" s="33" t="s">
        <v>31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" t="s">
        <v>20</v>
      </c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9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206</v>
      </c>
      <c r="M43" s="238">
        <f t="shared" si="2"/>
        <v>11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6</v>
      </c>
      <c r="F45" s="341">
        <f>COUNTIF($D$4:$D$38,"FONTAINE")+COUNTIF($G$4:$G$38,"FONTAINE")</f>
        <v>5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142</v>
      </c>
      <c r="M45" s="238">
        <f t="shared" si="2"/>
        <v>35.92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9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3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9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192</v>
      </c>
      <c r="M61" s="238">
        <f t="shared" si="2"/>
        <v>-3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816</v>
      </c>
      <c r="E66" s="238">
        <f>D66-C66</f>
        <v>168.60000000000002</v>
      </c>
      <c r="F66" s="163">
        <f>E66/24</f>
        <v>7.0250000000000012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510</v>
      </c>
      <c r="E68" s="238">
        <f>D68-C68</f>
        <v>85.68</v>
      </c>
      <c r="F68" s="163">
        <f>E68/24</f>
        <v>3.5700000000000003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318</v>
      </c>
      <c r="E84" s="238">
        <f>D84-C84-(20.4)</f>
        <v>35.700000000000024</v>
      </c>
      <c r="F84" s="163">
        <f t="shared" si="4"/>
        <v>1.4875000000000009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C24:D38 K26:K27 F38:G38 J29:K29 J25:J27 G30:K30 G31:H31 J31:K31 F32:G33 I32:K32 I33:J33 E34:G34 I34:K38 F35:G35 E36:G37 G28:I28 E25:I26 E27:F31 G27:H27 G29:H29 F11:K11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43" t="s">
        <v>189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50"/>
      <c r="H27" s="104" t="s">
        <v>168</v>
      </c>
      <c r="I27" s="27"/>
      <c r="J27" s="350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 x14ac:dyDescent="0.15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 x14ac:dyDescent="0.15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 x14ac:dyDescent="0.15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 x14ac:dyDescent="0.15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43" t="s">
        <v>196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43" t="s">
        <v>207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 x14ac:dyDescent="0.15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 x14ac:dyDescent="0.15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 x14ac:dyDescent="0.15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 x14ac:dyDescent="0.15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 x14ac:dyDescent="0.15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 x14ac:dyDescent="0.15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43" t="s">
        <v>214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 x14ac:dyDescent="0.15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 x14ac:dyDescent="0.15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 x14ac:dyDescent="0.15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 x14ac:dyDescent="0.15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 x14ac:dyDescent="0.15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 x14ac:dyDescent="0.15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 x14ac:dyDescent="0.15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 x14ac:dyDescent="0.2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 x14ac:dyDescent="0.15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 x14ac:dyDescent="0.15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47" t="s">
        <v>168</v>
      </c>
      <c r="B77" s="347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